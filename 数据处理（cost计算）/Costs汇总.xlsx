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research\雪车论文\雪车论文2\数据\数据处理（cost计算）\"/>
    </mc:Choice>
  </mc:AlternateContent>
  <xr:revisionPtr revIDLastSave="0" documentId="13_ncr:1_{98375EEC-3EBF-4B5D-AE49-0B2E566290CF}" xr6:coauthVersionLast="47" xr6:coauthVersionMax="47" xr10:uidLastSave="{00000000-0000-0000-0000-000000000000}"/>
  <bookViews>
    <workbookView xWindow="14303" yWindow="-98" windowWidth="28995" windowHeight="156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G107" i="1"/>
  <c r="G106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112" i="1"/>
  <c r="Q3" i="1"/>
  <c r="R3" i="1"/>
  <c r="S3" i="1"/>
  <c r="T3" i="1"/>
  <c r="U3" i="1"/>
  <c r="V3" i="1"/>
  <c r="W3" i="1"/>
  <c r="Q4" i="1"/>
  <c r="R4" i="1"/>
  <c r="S4" i="1"/>
  <c r="T4" i="1"/>
  <c r="U4" i="1"/>
  <c r="V4" i="1"/>
  <c r="W4" i="1"/>
  <c r="Q5" i="1"/>
  <c r="R5" i="1"/>
  <c r="S5" i="1"/>
  <c r="T5" i="1"/>
  <c r="U5" i="1"/>
  <c r="V5" i="1"/>
  <c r="W5" i="1"/>
  <c r="Q6" i="1"/>
  <c r="R6" i="1"/>
  <c r="S6" i="1"/>
  <c r="T6" i="1"/>
  <c r="U6" i="1"/>
  <c r="V6" i="1"/>
  <c r="W6" i="1"/>
  <c r="Q7" i="1"/>
  <c r="R7" i="1"/>
  <c r="S7" i="1"/>
  <c r="T7" i="1"/>
  <c r="U7" i="1"/>
  <c r="V7" i="1"/>
  <c r="W7" i="1"/>
  <c r="Q8" i="1"/>
  <c r="R8" i="1"/>
  <c r="S8" i="1"/>
  <c r="T8" i="1"/>
  <c r="U8" i="1"/>
  <c r="V8" i="1"/>
  <c r="W8" i="1"/>
  <c r="Q9" i="1"/>
  <c r="R9" i="1"/>
  <c r="S9" i="1"/>
  <c r="T9" i="1"/>
  <c r="U9" i="1"/>
  <c r="V9" i="1"/>
  <c r="W9" i="1"/>
  <c r="Q10" i="1"/>
  <c r="R10" i="1"/>
  <c r="S10" i="1"/>
  <c r="T10" i="1"/>
  <c r="U10" i="1"/>
  <c r="V10" i="1"/>
  <c r="W10" i="1"/>
  <c r="Q11" i="1"/>
  <c r="R11" i="1"/>
  <c r="S11" i="1"/>
  <c r="T11" i="1"/>
  <c r="U11" i="1"/>
  <c r="V11" i="1"/>
  <c r="W11" i="1"/>
  <c r="Q12" i="1"/>
  <c r="R12" i="1"/>
  <c r="S12" i="1"/>
  <c r="T12" i="1"/>
  <c r="U12" i="1"/>
  <c r="V12" i="1"/>
  <c r="W12" i="1"/>
  <c r="Q13" i="1"/>
  <c r="R13" i="1"/>
  <c r="S13" i="1"/>
  <c r="T13" i="1"/>
  <c r="U13" i="1"/>
  <c r="V13" i="1"/>
  <c r="W13" i="1"/>
  <c r="Q14" i="1"/>
  <c r="R14" i="1"/>
  <c r="S14" i="1"/>
  <c r="T14" i="1"/>
  <c r="U14" i="1"/>
  <c r="V14" i="1"/>
  <c r="W14" i="1"/>
  <c r="Q15" i="1"/>
  <c r="R15" i="1"/>
  <c r="S15" i="1"/>
  <c r="T15" i="1"/>
  <c r="U15" i="1"/>
  <c r="V15" i="1"/>
  <c r="W15" i="1"/>
  <c r="Q16" i="1"/>
  <c r="R16" i="1"/>
  <c r="S16" i="1"/>
  <c r="T16" i="1"/>
  <c r="U16" i="1"/>
  <c r="V16" i="1"/>
  <c r="W16" i="1"/>
  <c r="Q17" i="1"/>
  <c r="R17" i="1"/>
  <c r="S17" i="1"/>
  <c r="T17" i="1"/>
  <c r="U17" i="1"/>
  <c r="V17" i="1"/>
  <c r="W17" i="1"/>
  <c r="Q18" i="1"/>
  <c r="R18" i="1"/>
  <c r="S18" i="1"/>
  <c r="T18" i="1"/>
  <c r="U18" i="1"/>
  <c r="V18" i="1"/>
  <c r="W18" i="1"/>
  <c r="Q19" i="1"/>
  <c r="R19" i="1"/>
  <c r="S19" i="1"/>
  <c r="T19" i="1"/>
  <c r="U19" i="1"/>
  <c r="V19" i="1"/>
  <c r="W19" i="1"/>
  <c r="Q20" i="1"/>
  <c r="R20" i="1"/>
  <c r="S20" i="1"/>
  <c r="T20" i="1"/>
  <c r="U20" i="1"/>
  <c r="V20" i="1"/>
  <c r="W20" i="1"/>
  <c r="Q21" i="1"/>
  <c r="R21" i="1"/>
  <c r="S21" i="1"/>
  <c r="T21" i="1"/>
  <c r="U21" i="1"/>
  <c r="V21" i="1"/>
  <c r="W21" i="1"/>
  <c r="Q22" i="1"/>
  <c r="R22" i="1"/>
  <c r="S22" i="1"/>
  <c r="T22" i="1"/>
  <c r="U22" i="1"/>
  <c r="V22" i="1"/>
  <c r="W22" i="1"/>
  <c r="Q23" i="1"/>
  <c r="R23" i="1"/>
  <c r="S23" i="1"/>
  <c r="T23" i="1"/>
  <c r="U23" i="1"/>
  <c r="V23" i="1"/>
  <c r="W23" i="1"/>
  <c r="Q24" i="1"/>
  <c r="R24" i="1"/>
  <c r="S24" i="1"/>
  <c r="T24" i="1"/>
  <c r="U24" i="1"/>
  <c r="V24" i="1"/>
  <c r="W24" i="1"/>
  <c r="Q25" i="1"/>
  <c r="R25" i="1"/>
  <c r="S25" i="1"/>
  <c r="T25" i="1"/>
  <c r="U25" i="1"/>
  <c r="V25" i="1"/>
  <c r="W25" i="1"/>
  <c r="Q26" i="1"/>
  <c r="R26" i="1"/>
  <c r="S26" i="1"/>
  <c r="T26" i="1"/>
  <c r="U26" i="1"/>
  <c r="V26" i="1"/>
  <c r="W26" i="1"/>
  <c r="Q27" i="1"/>
  <c r="R27" i="1"/>
  <c r="S27" i="1"/>
  <c r="T27" i="1"/>
  <c r="U27" i="1"/>
  <c r="V27" i="1"/>
  <c r="W27" i="1"/>
  <c r="Q28" i="1"/>
  <c r="R28" i="1"/>
  <c r="S28" i="1"/>
  <c r="T28" i="1"/>
  <c r="U28" i="1"/>
  <c r="V28" i="1"/>
  <c r="W28" i="1"/>
  <c r="Q29" i="1"/>
  <c r="R29" i="1"/>
  <c r="S29" i="1"/>
  <c r="T29" i="1"/>
  <c r="U29" i="1"/>
  <c r="V29" i="1"/>
  <c r="W29" i="1"/>
  <c r="Q30" i="1"/>
  <c r="R30" i="1"/>
  <c r="S30" i="1"/>
  <c r="T30" i="1"/>
  <c r="U30" i="1"/>
  <c r="V30" i="1"/>
  <c r="W30" i="1"/>
  <c r="Q31" i="1"/>
  <c r="R31" i="1"/>
  <c r="S31" i="1"/>
  <c r="T31" i="1"/>
  <c r="U31" i="1"/>
  <c r="V31" i="1"/>
  <c r="W31" i="1"/>
  <c r="Q32" i="1"/>
  <c r="R32" i="1"/>
  <c r="S32" i="1"/>
  <c r="T32" i="1"/>
  <c r="U32" i="1"/>
  <c r="V32" i="1"/>
  <c r="W32" i="1"/>
  <c r="Q33" i="1"/>
  <c r="R33" i="1"/>
  <c r="S33" i="1"/>
  <c r="T33" i="1"/>
  <c r="U33" i="1"/>
  <c r="V33" i="1"/>
  <c r="W33" i="1"/>
  <c r="Q34" i="1"/>
  <c r="R34" i="1"/>
  <c r="S34" i="1"/>
  <c r="T34" i="1"/>
  <c r="U34" i="1"/>
  <c r="V34" i="1"/>
  <c r="W34" i="1"/>
  <c r="Q35" i="1"/>
  <c r="R35" i="1"/>
  <c r="S35" i="1"/>
  <c r="T35" i="1"/>
  <c r="U35" i="1"/>
  <c r="V35" i="1"/>
  <c r="W35" i="1"/>
  <c r="Q36" i="1"/>
  <c r="R36" i="1"/>
  <c r="S36" i="1"/>
  <c r="T36" i="1"/>
  <c r="U36" i="1"/>
  <c r="V36" i="1"/>
  <c r="W36" i="1"/>
  <c r="Q37" i="1"/>
  <c r="R37" i="1"/>
  <c r="S37" i="1"/>
  <c r="T37" i="1"/>
  <c r="U37" i="1"/>
  <c r="V37" i="1"/>
  <c r="W37" i="1"/>
  <c r="Q38" i="1"/>
  <c r="R38" i="1"/>
  <c r="S38" i="1"/>
  <c r="T38" i="1"/>
  <c r="U38" i="1"/>
  <c r="V38" i="1"/>
  <c r="W38" i="1"/>
  <c r="Q39" i="1"/>
  <c r="R39" i="1"/>
  <c r="S39" i="1"/>
  <c r="T39" i="1"/>
  <c r="U39" i="1"/>
  <c r="V39" i="1"/>
  <c r="W39" i="1"/>
  <c r="Q40" i="1"/>
  <c r="R40" i="1"/>
  <c r="S40" i="1"/>
  <c r="T40" i="1"/>
  <c r="U40" i="1"/>
  <c r="V40" i="1"/>
  <c r="W40" i="1"/>
  <c r="Q41" i="1"/>
  <c r="R41" i="1"/>
  <c r="S41" i="1"/>
  <c r="T41" i="1"/>
  <c r="U41" i="1"/>
  <c r="V41" i="1"/>
  <c r="W41" i="1"/>
  <c r="Q42" i="1"/>
  <c r="R42" i="1"/>
  <c r="S42" i="1"/>
  <c r="T42" i="1"/>
  <c r="U42" i="1"/>
  <c r="V42" i="1"/>
  <c r="W42" i="1"/>
  <c r="Q43" i="1"/>
  <c r="R43" i="1"/>
  <c r="S43" i="1"/>
  <c r="T43" i="1"/>
  <c r="U43" i="1"/>
  <c r="V43" i="1"/>
  <c r="W43" i="1"/>
  <c r="Q44" i="1"/>
  <c r="R44" i="1"/>
  <c r="S44" i="1"/>
  <c r="T44" i="1"/>
  <c r="U44" i="1"/>
  <c r="V44" i="1"/>
  <c r="W44" i="1"/>
  <c r="Q45" i="1"/>
  <c r="R45" i="1"/>
  <c r="S45" i="1"/>
  <c r="T45" i="1"/>
  <c r="U45" i="1"/>
  <c r="V45" i="1"/>
  <c r="W45" i="1"/>
  <c r="Q46" i="1"/>
  <c r="R46" i="1"/>
  <c r="S46" i="1"/>
  <c r="T46" i="1"/>
  <c r="U46" i="1"/>
  <c r="V46" i="1"/>
  <c r="W46" i="1"/>
  <c r="Q47" i="1"/>
  <c r="R47" i="1"/>
  <c r="S47" i="1"/>
  <c r="T47" i="1"/>
  <c r="U47" i="1"/>
  <c r="V47" i="1"/>
  <c r="W47" i="1"/>
  <c r="Q48" i="1"/>
  <c r="R48" i="1"/>
  <c r="S48" i="1"/>
  <c r="T48" i="1"/>
  <c r="U48" i="1"/>
  <c r="V48" i="1"/>
  <c r="W48" i="1"/>
  <c r="Q49" i="1"/>
  <c r="R49" i="1"/>
  <c r="S49" i="1"/>
  <c r="T49" i="1"/>
  <c r="U49" i="1"/>
  <c r="V49" i="1"/>
  <c r="W49" i="1"/>
  <c r="Q50" i="1"/>
  <c r="R50" i="1"/>
  <c r="S50" i="1"/>
  <c r="T50" i="1"/>
  <c r="U50" i="1"/>
  <c r="V50" i="1"/>
  <c r="W50" i="1"/>
  <c r="Q51" i="1"/>
  <c r="R51" i="1"/>
  <c r="S51" i="1"/>
  <c r="T51" i="1"/>
  <c r="U51" i="1"/>
  <c r="V51" i="1"/>
  <c r="W51" i="1"/>
  <c r="Q52" i="1"/>
  <c r="R52" i="1"/>
  <c r="S52" i="1"/>
  <c r="T52" i="1"/>
  <c r="U52" i="1"/>
  <c r="V52" i="1"/>
  <c r="W52" i="1"/>
  <c r="Q53" i="1"/>
  <c r="R53" i="1"/>
  <c r="S53" i="1"/>
  <c r="T53" i="1"/>
  <c r="U53" i="1"/>
  <c r="V53" i="1"/>
  <c r="W53" i="1"/>
  <c r="Q54" i="1"/>
  <c r="R54" i="1"/>
  <c r="S54" i="1"/>
  <c r="T54" i="1"/>
  <c r="U54" i="1"/>
  <c r="V54" i="1"/>
  <c r="W54" i="1"/>
  <c r="Q55" i="1"/>
  <c r="R55" i="1"/>
  <c r="S55" i="1"/>
  <c r="T55" i="1"/>
  <c r="U55" i="1"/>
  <c r="V55" i="1"/>
  <c r="W55" i="1"/>
  <c r="Q56" i="1"/>
  <c r="R56" i="1"/>
  <c r="S56" i="1"/>
  <c r="T56" i="1"/>
  <c r="U56" i="1"/>
  <c r="V56" i="1"/>
  <c r="W56" i="1"/>
  <c r="Q57" i="1"/>
  <c r="R57" i="1"/>
  <c r="S57" i="1"/>
  <c r="T57" i="1"/>
  <c r="U57" i="1"/>
  <c r="V57" i="1"/>
  <c r="W57" i="1"/>
  <c r="Q58" i="1"/>
  <c r="R58" i="1"/>
  <c r="S58" i="1"/>
  <c r="T58" i="1"/>
  <c r="U58" i="1"/>
  <c r="V58" i="1"/>
  <c r="W58" i="1"/>
  <c r="Q59" i="1"/>
  <c r="R59" i="1"/>
  <c r="S59" i="1"/>
  <c r="T59" i="1"/>
  <c r="U59" i="1"/>
  <c r="V59" i="1"/>
  <c r="W59" i="1"/>
  <c r="Q60" i="1"/>
  <c r="R60" i="1"/>
  <c r="S60" i="1"/>
  <c r="T60" i="1"/>
  <c r="U60" i="1"/>
  <c r="V60" i="1"/>
  <c r="W60" i="1"/>
  <c r="Q61" i="1"/>
  <c r="R61" i="1"/>
  <c r="S61" i="1"/>
  <c r="T61" i="1"/>
  <c r="U61" i="1"/>
  <c r="V61" i="1"/>
  <c r="W61" i="1"/>
  <c r="Q62" i="1"/>
  <c r="R62" i="1"/>
  <c r="S62" i="1"/>
  <c r="T62" i="1"/>
  <c r="U62" i="1"/>
  <c r="V62" i="1"/>
  <c r="W62" i="1"/>
  <c r="Q63" i="1"/>
  <c r="R63" i="1"/>
  <c r="S63" i="1"/>
  <c r="T63" i="1"/>
  <c r="U63" i="1"/>
  <c r="V63" i="1"/>
  <c r="W63" i="1"/>
  <c r="Q64" i="1"/>
  <c r="R64" i="1"/>
  <c r="S64" i="1"/>
  <c r="T64" i="1"/>
  <c r="U64" i="1"/>
  <c r="V64" i="1"/>
  <c r="W64" i="1"/>
  <c r="Q65" i="1"/>
  <c r="R65" i="1"/>
  <c r="S65" i="1"/>
  <c r="T65" i="1"/>
  <c r="U65" i="1"/>
  <c r="V65" i="1"/>
  <c r="W65" i="1"/>
  <c r="Q66" i="1"/>
  <c r="R66" i="1"/>
  <c r="S66" i="1"/>
  <c r="T66" i="1"/>
  <c r="U66" i="1"/>
  <c r="V66" i="1"/>
  <c r="W66" i="1"/>
  <c r="Q67" i="1"/>
  <c r="R67" i="1"/>
  <c r="S67" i="1"/>
  <c r="T67" i="1"/>
  <c r="U67" i="1"/>
  <c r="V67" i="1"/>
  <c r="W67" i="1"/>
  <c r="Q68" i="1"/>
  <c r="R68" i="1"/>
  <c r="S68" i="1"/>
  <c r="T68" i="1"/>
  <c r="U68" i="1"/>
  <c r="V68" i="1"/>
  <c r="W68" i="1"/>
  <c r="Q69" i="1"/>
  <c r="R69" i="1"/>
  <c r="S69" i="1"/>
  <c r="T69" i="1"/>
  <c r="U69" i="1"/>
  <c r="V69" i="1"/>
  <c r="W69" i="1"/>
  <c r="Q70" i="1"/>
  <c r="R70" i="1"/>
  <c r="S70" i="1"/>
  <c r="T70" i="1"/>
  <c r="U70" i="1"/>
  <c r="V70" i="1"/>
  <c r="W70" i="1"/>
  <c r="Q71" i="1"/>
  <c r="R71" i="1"/>
  <c r="S71" i="1"/>
  <c r="T71" i="1"/>
  <c r="U71" i="1"/>
  <c r="V71" i="1"/>
  <c r="W71" i="1"/>
  <c r="Q72" i="1"/>
  <c r="R72" i="1"/>
  <c r="S72" i="1"/>
  <c r="T72" i="1"/>
  <c r="U72" i="1"/>
  <c r="V72" i="1"/>
  <c r="W72" i="1"/>
  <c r="Q73" i="1"/>
  <c r="R73" i="1"/>
  <c r="S73" i="1"/>
  <c r="T73" i="1"/>
  <c r="U73" i="1"/>
  <c r="V73" i="1"/>
  <c r="W73" i="1"/>
  <c r="Q74" i="1"/>
  <c r="R74" i="1"/>
  <c r="S74" i="1"/>
  <c r="T74" i="1"/>
  <c r="U74" i="1"/>
  <c r="V74" i="1"/>
  <c r="W74" i="1"/>
  <c r="Q75" i="1"/>
  <c r="R75" i="1"/>
  <c r="S75" i="1"/>
  <c r="T75" i="1"/>
  <c r="U75" i="1"/>
  <c r="V75" i="1"/>
  <c r="W75" i="1"/>
  <c r="Q76" i="1"/>
  <c r="R76" i="1"/>
  <c r="S76" i="1"/>
  <c r="T76" i="1"/>
  <c r="U76" i="1"/>
  <c r="V76" i="1"/>
  <c r="W76" i="1"/>
  <c r="Q77" i="1"/>
  <c r="R77" i="1"/>
  <c r="S77" i="1"/>
  <c r="T77" i="1"/>
  <c r="U77" i="1"/>
  <c r="V77" i="1"/>
  <c r="W77" i="1"/>
  <c r="Q78" i="1"/>
  <c r="R78" i="1"/>
  <c r="S78" i="1"/>
  <c r="T78" i="1"/>
  <c r="U78" i="1"/>
  <c r="V78" i="1"/>
  <c r="W78" i="1"/>
  <c r="Q79" i="1"/>
  <c r="R79" i="1"/>
  <c r="S79" i="1"/>
  <c r="T79" i="1"/>
  <c r="U79" i="1"/>
  <c r="V79" i="1"/>
  <c r="W79" i="1"/>
  <c r="Q80" i="1"/>
  <c r="R80" i="1"/>
  <c r="S80" i="1"/>
  <c r="T80" i="1"/>
  <c r="U80" i="1"/>
  <c r="V80" i="1"/>
  <c r="W80" i="1"/>
  <c r="Q81" i="1"/>
  <c r="R81" i="1"/>
  <c r="S81" i="1"/>
  <c r="T81" i="1"/>
  <c r="U81" i="1"/>
  <c r="V81" i="1"/>
  <c r="W81" i="1"/>
  <c r="Q82" i="1"/>
  <c r="R82" i="1"/>
  <c r="S82" i="1"/>
  <c r="T82" i="1"/>
  <c r="U82" i="1"/>
  <c r="V82" i="1"/>
  <c r="W82" i="1"/>
  <c r="Q83" i="1"/>
  <c r="R83" i="1"/>
  <c r="S83" i="1"/>
  <c r="T83" i="1"/>
  <c r="U83" i="1"/>
  <c r="V83" i="1"/>
  <c r="W83" i="1"/>
  <c r="Q84" i="1"/>
  <c r="R84" i="1"/>
  <c r="S84" i="1"/>
  <c r="T84" i="1"/>
  <c r="U84" i="1"/>
  <c r="V84" i="1"/>
  <c r="W84" i="1"/>
  <c r="Q85" i="1"/>
  <c r="R85" i="1"/>
  <c r="S85" i="1"/>
  <c r="T85" i="1"/>
  <c r="U85" i="1"/>
  <c r="V85" i="1"/>
  <c r="W85" i="1"/>
  <c r="Q86" i="1"/>
  <c r="R86" i="1"/>
  <c r="S86" i="1"/>
  <c r="T86" i="1"/>
  <c r="U86" i="1"/>
  <c r="V86" i="1"/>
  <c r="W86" i="1"/>
  <c r="Q87" i="1"/>
  <c r="R87" i="1"/>
  <c r="S87" i="1"/>
  <c r="T87" i="1"/>
  <c r="U87" i="1"/>
  <c r="V87" i="1"/>
  <c r="W87" i="1"/>
  <c r="Q88" i="1"/>
  <c r="R88" i="1"/>
  <c r="S88" i="1"/>
  <c r="T88" i="1"/>
  <c r="U88" i="1"/>
  <c r="V88" i="1"/>
  <c r="W88" i="1"/>
  <c r="Q89" i="1"/>
  <c r="R89" i="1"/>
  <c r="S89" i="1"/>
  <c r="T89" i="1"/>
  <c r="U89" i="1"/>
  <c r="V89" i="1"/>
  <c r="W89" i="1"/>
  <c r="Q90" i="1"/>
  <c r="R90" i="1"/>
  <c r="S90" i="1"/>
  <c r="T90" i="1"/>
  <c r="U90" i="1"/>
  <c r="V90" i="1"/>
  <c r="W90" i="1"/>
  <c r="Q91" i="1"/>
  <c r="R91" i="1"/>
  <c r="S91" i="1"/>
  <c r="T91" i="1"/>
  <c r="U91" i="1"/>
  <c r="V91" i="1"/>
  <c r="W91" i="1"/>
  <c r="Q92" i="1"/>
  <c r="R92" i="1"/>
  <c r="S92" i="1"/>
  <c r="T92" i="1"/>
  <c r="U92" i="1"/>
  <c r="V92" i="1"/>
  <c r="W92" i="1"/>
  <c r="Q93" i="1"/>
  <c r="R93" i="1"/>
  <c r="S93" i="1"/>
  <c r="T93" i="1"/>
  <c r="U93" i="1"/>
  <c r="V93" i="1"/>
  <c r="W93" i="1"/>
  <c r="Q94" i="1"/>
  <c r="R94" i="1"/>
  <c r="S94" i="1"/>
  <c r="T94" i="1"/>
  <c r="U94" i="1"/>
  <c r="V94" i="1"/>
  <c r="W94" i="1"/>
  <c r="Q95" i="1"/>
  <c r="R95" i="1"/>
  <c r="S95" i="1"/>
  <c r="T95" i="1"/>
  <c r="U95" i="1"/>
  <c r="V95" i="1"/>
  <c r="W95" i="1"/>
  <c r="Q96" i="1"/>
  <c r="R96" i="1"/>
  <c r="S96" i="1"/>
  <c r="T96" i="1"/>
  <c r="U96" i="1"/>
  <c r="V96" i="1"/>
  <c r="W96" i="1"/>
  <c r="Q97" i="1"/>
  <c r="R97" i="1"/>
  <c r="S97" i="1"/>
  <c r="T97" i="1"/>
  <c r="U97" i="1"/>
  <c r="V97" i="1"/>
  <c r="W97" i="1"/>
  <c r="Q98" i="1"/>
  <c r="R98" i="1"/>
  <c r="S98" i="1"/>
  <c r="T98" i="1"/>
  <c r="U98" i="1"/>
  <c r="V98" i="1"/>
  <c r="W98" i="1"/>
  <c r="Q99" i="1"/>
  <c r="R99" i="1"/>
  <c r="S99" i="1"/>
  <c r="T99" i="1"/>
  <c r="U99" i="1"/>
  <c r="V99" i="1"/>
  <c r="W99" i="1"/>
  <c r="Q100" i="1"/>
  <c r="R100" i="1"/>
  <c r="S100" i="1"/>
  <c r="T100" i="1"/>
  <c r="U100" i="1"/>
  <c r="V100" i="1"/>
  <c r="W100" i="1"/>
  <c r="Q101" i="1"/>
  <c r="R101" i="1"/>
  <c r="S101" i="1"/>
  <c r="T101" i="1"/>
  <c r="U101" i="1"/>
  <c r="V101" i="1"/>
  <c r="W101" i="1"/>
  <c r="R2" i="1"/>
  <c r="R104" i="1" s="1"/>
  <c r="S2" i="1"/>
  <c r="S104" i="1" s="1"/>
  <c r="T2" i="1"/>
  <c r="T104" i="1" s="1"/>
  <c r="U2" i="1"/>
  <c r="U105" i="1" s="1"/>
  <c r="V2" i="1"/>
  <c r="V105" i="1" s="1"/>
  <c r="W2" i="1"/>
  <c r="W105" i="1" s="1"/>
  <c r="Q2" i="1"/>
  <c r="Q104" i="1" s="1"/>
  <c r="B105" i="1"/>
  <c r="C105" i="1"/>
  <c r="D105" i="1"/>
  <c r="E105" i="1"/>
  <c r="F105" i="1"/>
  <c r="G105" i="1"/>
  <c r="A105" i="1"/>
  <c r="B104" i="1"/>
  <c r="C104" i="1"/>
  <c r="D104" i="1"/>
  <c r="E104" i="1"/>
  <c r="F104" i="1"/>
  <c r="G104" i="1"/>
  <c r="A104" i="1"/>
  <c r="T105" i="1" l="1"/>
  <c r="S105" i="1"/>
  <c r="R105" i="1"/>
  <c r="Q105" i="1"/>
  <c r="W104" i="1"/>
  <c r="V104" i="1"/>
  <c r="U104" i="1"/>
</calcChain>
</file>

<file path=xl/sharedStrings.xml><?xml version="1.0" encoding="utf-8"?>
<sst xmlns="http://schemas.openxmlformats.org/spreadsheetml/2006/main" count="8" uniqueCount="2">
  <si>
    <t>cost</t>
  </si>
  <si>
    <t>Iteration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</si>
</sst>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2" borderId="0" xfId="0" applyFont="1" applyFill="1"/>
    <xf numFmtId="0" fontId="5" fillId="2" borderId="0" xfId="0" applyFont="1" applyFill="1"/>
    <xf numFmtId="0" fontId="0" fillId="0" borderId="0" xfId="0" applyAlignment="1">
      <alignment vertical="center"/>
    </xf>
    <xf numFmtId="0" fontId="6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4"/>
  <sheetViews>
    <sheetView tabSelected="1" workbookViewId="0">
      <selection activeCell="H3" sqref="H3"/>
    </sheetView>
  </sheetViews>
  <sheetFormatPr defaultRowHeight="14.4" x14ac:dyDescent="0.25"/>
  <cols>
    <col min="1" max="1" width="12.77734375" bestFit="1" customWidth="1"/>
    <col min="7" max="9" width="12.77734375" bestFit="1" customWidth="1"/>
  </cols>
  <sheetData>
    <row r="1" spans="1:23" x14ac:dyDescent="0.25">
      <c r="A1" s="2" t="s">
        <v>0</v>
      </c>
      <c r="B1" s="2" t="s">
        <v>0</v>
      </c>
      <c r="C1" s="2" t="s">
        <v>0</v>
      </c>
      <c r="D1" s="1" t="s">
        <v>0</v>
      </c>
      <c r="E1" s="2" t="s">
        <v>0</v>
      </c>
      <c r="F1" s="2" t="s">
        <v>0</v>
      </c>
      <c r="G1" s="2" t="s">
        <v>0</v>
      </c>
      <c r="I1" s="7" t="s">
        <v>1</v>
      </c>
    </row>
    <row r="2" spans="1:23" ht="15" x14ac:dyDescent="0.3">
      <c r="A2">
        <v>10.035964618453161</v>
      </c>
      <c r="B2">
        <v>7.098936878224376</v>
      </c>
      <c r="C2">
        <v>5.2332390765090686</v>
      </c>
      <c r="D2">
        <v>2.3489550619999999</v>
      </c>
      <c r="E2">
        <v>2.486758518229613</v>
      </c>
      <c r="F2">
        <v>3.3743302734905392</v>
      </c>
      <c r="G2">
        <v>3.3453828026904762</v>
      </c>
      <c r="H2">
        <f>_xlfn.VAR.P(F2:F101)</f>
        <v>0.6280867899764998</v>
      </c>
      <c r="I2" s="6">
        <v>470</v>
      </c>
      <c r="Q2">
        <f t="shared" ref="Q2:Q33" si="0">A2*0.98</f>
        <v>9.8352453260840971</v>
      </c>
      <c r="R2">
        <f t="shared" ref="R2:R33" si="1">B2*0.98</f>
        <v>6.9569581406598884</v>
      </c>
      <c r="S2">
        <f t="shared" ref="S2:S33" si="2">C2*0.98</f>
        <v>5.1285742949788871</v>
      </c>
      <c r="T2">
        <f t="shared" ref="T2:T33" si="3">D2*0.98</f>
        <v>2.3019759607600001</v>
      </c>
      <c r="U2">
        <f t="shared" ref="U2:U33" si="4">E2*0.98</f>
        <v>2.4370233478650207</v>
      </c>
      <c r="V2">
        <f t="shared" ref="V2:V33" si="5">F2*0.98</f>
        <v>3.3068436680207283</v>
      </c>
      <c r="W2">
        <f t="shared" ref="W2:W33" si="6">G2*0.98</f>
        <v>3.2784751466366666</v>
      </c>
    </row>
    <row r="3" spans="1:23" ht="15" x14ac:dyDescent="0.3">
      <c r="A3">
        <v>16.940095324915681</v>
      </c>
      <c r="B3">
        <v>7.7489578101423957</v>
      </c>
      <c r="C3">
        <v>6.8297617107857178</v>
      </c>
      <c r="D3">
        <v>4.8551079609999999</v>
      </c>
      <c r="E3">
        <v>4.8322613833980501</v>
      </c>
      <c r="F3">
        <v>4.8274963018412587</v>
      </c>
      <c r="G3">
        <v>4.8264474285327363</v>
      </c>
      <c r="H3">
        <f>_xlfn.VAR.P(G2:G101)</f>
        <v>0.6697383631268341</v>
      </c>
      <c r="I3" s="6">
        <v>400</v>
      </c>
      <c r="Q3">
        <f t="shared" si="0"/>
        <v>16.601293418417367</v>
      </c>
      <c r="R3">
        <f t="shared" si="1"/>
        <v>7.5939786539395477</v>
      </c>
      <c r="S3">
        <f t="shared" si="2"/>
        <v>6.6931664765700036</v>
      </c>
      <c r="T3">
        <f t="shared" si="3"/>
        <v>4.7580058017799995</v>
      </c>
      <c r="U3">
        <f t="shared" si="4"/>
        <v>4.7356161557300886</v>
      </c>
      <c r="V3">
        <f t="shared" si="5"/>
        <v>4.7309463758044332</v>
      </c>
      <c r="W3">
        <f t="shared" si="6"/>
        <v>4.7299184799620813</v>
      </c>
    </row>
    <row r="4" spans="1:23" ht="15" x14ac:dyDescent="0.3">
      <c r="A4">
        <v>18.382941875584379</v>
      </c>
      <c r="B4">
        <v>6.6340787228551124</v>
      </c>
      <c r="C4">
        <v>5.889903400374477</v>
      </c>
      <c r="D4">
        <v>5.1674187209999998</v>
      </c>
      <c r="E4">
        <v>5.2946670861677188</v>
      </c>
      <c r="F4">
        <v>5.2658763130766841</v>
      </c>
      <c r="G4">
        <v>5.2658763130766841</v>
      </c>
      <c r="I4" s="6">
        <v>351</v>
      </c>
      <c r="Q4">
        <f t="shared" si="0"/>
        <v>18.015283038072692</v>
      </c>
      <c r="R4">
        <f t="shared" si="1"/>
        <v>6.5013971483980102</v>
      </c>
      <c r="S4">
        <f t="shared" si="2"/>
        <v>5.7721053323669871</v>
      </c>
      <c r="T4">
        <f t="shared" si="3"/>
        <v>5.0640703465799994</v>
      </c>
      <c r="U4">
        <f t="shared" si="4"/>
        <v>5.1887737444443642</v>
      </c>
      <c r="V4">
        <f t="shared" si="5"/>
        <v>5.1605587868151508</v>
      </c>
      <c r="W4">
        <f t="shared" si="6"/>
        <v>5.1605587868151508</v>
      </c>
    </row>
    <row r="5" spans="1:23" ht="15" x14ac:dyDescent="0.3">
      <c r="A5">
        <v>12.604982367214509</v>
      </c>
      <c r="B5">
        <v>5.1678091893249487</v>
      </c>
      <c r="C5">
        <v>4.1828512747250883</v>
      </c>
      <c r="D5">
        <v>3.2911421559999998</v>
      </c>
      <c r="E5">
        <v>3.4659031407274332</v>
      </c>
      <c r="F5">
        <v>3.5001553606466018</v>
      </c>
      <c r="G5">
        <v>3.4421649503104499</v>
      </c>
      <c r="I5" s="6">
        <v>518</v>
      </c>
      <c r="Q5">
        <f t="shared" si="0"/>
        <v>12.35288271987022</v>
      </c>
      <c r="R5">
        <f t="shared" si="1"/>
        <v>5.06445300553845</v>
      </c>
      <c r="S5">
        <f t="shared" si="2"/>
        <v>4.0991942492305862</v>
      </c>
      <c r="T5">
        <f t="shared" si="3"/>
        <v>3.22531931288</v>
      </c>
      <c r="U5">
        <f t="shared" si="4"/>
        <v>3.3965850779128846</v>
      </c>
      <c r="V5">
        <f t="shared" si="5"/>
        <v>3.4301522534336697</v>
      </c>
      <c r="W5">
        <f t="shared" si="6"/>
        <v>3.373321651304241</v>
      </c>
    </row>
    <row r="6" spans="1:23" ht="15" x14ac:dyDescent="0.3">
      <c r="A6">
        <v>21.160991636129619</v>
      </c>
      <c r="B6">
        <v>8.089874738441603</v>
      </c>
      <c r="C6">
        <v>5.712646651164623</v>
      </c>
      <c r="D6">
        <v>4.6396077629999999</v>
      </c>
      <c r="E6">
        <v>4.714909052058248</v>
      </c>
      <c r="F6">
        <v>3.9485334259369189</v>
      </c>
      <c r="G6">
        <v>4.8835938439858442</v>
      </c>
      <c r="I6" s="6">
        <v>418</v>
      </c>
      <c r="Q6">
        <f t="shared" si="0"/>
        <v>20.737771803407025</v>
      </c>
      <c r="R6">
        <f t="shared" si="1"/>
        <v>7.9280772436727709</v>
      </c>
      <c r="S6">
        <f t="shared" si="2"/>
        <v>5.5983937181413301</v>
      </c>
      <c r="T6">
        <f t="shared" si="3"/>
        <v>4.5468156077400002</v>
      </c>
      <c r="U6">
        <f t="shared" si="4"/>
        <v>4.6206108710170826</v>
      </c>
      <c r="V6">
        <f t="shared" si="5"/>
        <v>3.8695627574181803</v>
      </c>
      <c r="W6">
        <f t="shared" si="6"/>
        <v>4.7859219671061268</v>
      </c>
    </row>
    <row r="7" spans="1:23" ht="15" x14ac:dyDescent="0.3">
      <c r="A7">
        <v>16.626346648385891</v>
      </c>
      <c r="B7">
        <v>6.4393536817194086</v>
      </c>
      <c r="C7">
        <v>4.4900957126977987</v>
      </c>
      <c r="D7">
        <v>2.6350455820000001</v>
      </c>
      <c r="E7">
        <v>3.0993634580091118</v>
      </c>
      <c r="F7">
        <v>3.1181739018510291</v>
      </c>
      <c r="G7">
        <v>2.5562634194186571</v>
      </c>
      <c r="I7" s="6">
        <v>378</v>
      </c>
      <c r="Q7">
        <f t="shared" si="0"/>
        <v>16.293819715418174</v>
      </c>
      <c r="R7">
        <f t="shared" si="1"/>
        <v>6.3105666080850202</v>
      </c>
      <c r="S7">
        <f t="shared" si="2"/>
        <v>4.4002937984438431</v>
      </c>
      <c r="T7">
        <f t="shared" si="3"/>
        <v>2.5823446703599999</v>
      </c>
      <c r="U7">
        <f t="shared" si="4"/>
        <v>3.0373761888489295</v>
      </c>
      <c r="V7">
        <f t="shared" si="5"/>
        <v>3.0558104238140085</v>
      </c>
      <c r="W7">
        <f t="shared" si="6"/>
        <v>2.5051381510302839</v>
      </c>
    </row>
    <row r="8" spans="1:23" ht="15" x14ac:dyDescent="0.3">
      <c r="A8">
        <v>13.587541281428029</v>
      </c>
      <c r="B8">
        <v>9.8689451745115484</v>
      </c>
      <c r="C8">
        <v>5.5328029800059966</v>
      </c>
      <c r="D8">
        <v>3.1320796139999998</v>
      </c>
      <c r="E8">
        <v>2.6165057942559962</v>
      </c>
      <c r="F8">
        <v>2.588363853872476</v>
      </c>
      <c r="G8">
        <v>2.5884468202839259</v>
      </c>
      <c r="I8" s="6">
        <v>375</v>
      </c>
      <c r="Q8">
        <f t="shared" si="0"/>
        <v>13.315790455799469</v>
      </c>
      <c r="R8">
        <f t="shared" si="1"/>
        <v>9.6715662710213177</v>
      </c>
      <c r="S8">
        <f t="shared" si="2"/>
        <v>5.4221469204058765</v>
      </c>
      <c r="T8">
        <f t="shared" si="3"/>
        <v>3.0694380217199999</v>
      </c>
      <c r="U8">
        <f t="shared" si="4"/>
        <v>2.564175678370876</v>
      </c>
      <c r="V8">
        <f t="shared" si="5"/>
        <v>2.5365965767950263</v>
      </c>
      <c r="W8">
        <f t="shared" si="6"/>
        <v>2.5366778838782476</v>
      </c>
    </row>
    <row r="9" spans="1:23" ht="15" x14ac:dyDescent="0.3">
      <c r="A9">
        <v>16.550982840514472</v>
      </c>
      <c r="B9">
        <v>8.026345592562679</v>
      </c>
      <c r="C9">
        <v>4.5162894636401418</v>
      </c>
      <c r="D9">
        <v>3.7262859869999998</v>
      </c>
      <c r="E9">
        <v>3.7241261760417008</v>
      </c>
      <c r="F9">
        <v>3.4871206139433371</v>
      </c>
      <c r="G9">
        <v>3.4713847076207731</v>
      </c>
      <c r="I9" s="6">
        <v>433</v>
      </c>
      <c r="Q9">
        <f t="shared" si="0"/>
        <v>16.219963183704181</v>
      </c>
      <c r="R9">
        <f t="shared" si="1"/>
        <v>7.865818680711425</v>
      </c>
      <c r="S9">
        <f t="shared" si="2"/>
        <v>4.4259636743673392</v>
      </c>
      <c r="T9">
        <f t="shared" si="3"/>
        <v>3.6517602672599998</v>
      </c>
      <c r="U9">
        <f t="shared" si="4"/>
        <v>3.6496436525208669</v>
      </c>
      <c r="V9">
        <f t="shared" si="5"/>
        <v>3.4173782016644703</v>
      </c>
      <c r="W9">
        <f t="shared" si="6"/>
        <v>3.4019570134683574</v>
      </c>
    </row>
    <row r="10" spans="1:23" ht="15" x14ac:dyDescent="0.3">
      <c r="A10">
        <v>13.01615096297647</v>
      </c>
      <c r="B10">
        <v>8.6342966791951081</v>
      </c>
      <c r="C10">
        <v>3.9641512416964919</v>
      </c>
      <c r="D10">
        <v>3.2429963900000001</v>
      </c>
      <c r="E10">
        <v>3.37556382797638</v>
      </c>
      <c r="F10">
        <v>3.378137641305285</v>
      </c>
      <c r="G10">
        <v>3.378137641305285</v>
      </c>
      <c r="I10" s="6">
        <v>335</v>
      </c>
      <c r="Q10">
        <f t="shared" si="0"/>
        <v>12.755827943716939</v>
      </c>
      <c r="R10">
        <f t="shared" si="1"/>
        <v>8.4616107456112051</v>
      </c>
      <c r="S10">
        <f t="shared" si="2"/>
        <v>3.8848682168625621</v>
      </c>
      <c r="T10">
        <f t="shared" si="3"/>
        <v>3.1781364621999999</v>
      </c>
      <c r="U10">
        <f t="shared" si="4"/>
        <v>3.3080525514168522</v>
      </c>
      <c r="V10">
        <f t="shared" si="5"/>
        <v>3.3105748884791795</v>
      </c>
      <c r="W10">
        <f t="shared" si="6"/>
        <v>3.3105748884791795</v>
      </c>
    </row>
    <row r="11" spans="1:23" ht="15" x14ac:dyDescent="0.3">
      <c r="A11">
        <v>11.22853278015304</v>
      </c>
      <c r="B11">
        <v>8.8659817773759713</v>
      </c>
      <c r="C11">
        <v>5.6297276490885482</v>
      </c>
      <c r="D11">
        <v>3.3186289499999999</v>
      </c>
      <c r="E11">
        <v>3.4139886983340131</v>
      </c>
      <c r="F11">
        <v>3.5734191447810359</v>
      </c>
      <c r="G11">
        <v>3.616799505823431</v>
      </c>
      <c r="I11" s="6">
        <v>389</v>
      </c>
      <c r="Q11">
        <f t="shared" si="0"/>
        <v>11.003962124549979</v>
      </c>
      <c r="R11">
        <f t="shared" si="1"/>
        <v>8.688662141828452</v>
      </c>
      <c r="S11">
        <f t="shared" si="2"/>
        <v>5.517133096106777</v>
      </c>
      <c r="T11">
        <f t="shared" si="3"/>
        <v>3.2522563709999996</v>
      </c>
      <c r="U11">
        <f t="shared" si="4"/>
        <v>3.3457089243673326</v>
      </c>
      <c r="V11">
        <f t="shared" si="5"/>
        <v>3.5019507618854151</v>
      </c>
      <c r="W11">
        <f t="shared" si="6"/>
        <v>3.5444635157069624</v>
      </c>
    </row>
    <row r="12" spans="1:23" ht="15" x14ac:dyDescent="0.3">
      <c r="A12">
        <v>22.819324083861432</v>
      </c>
      <c r="B12">
        <v>6.8038397597119378</v>
      </c>
      <c r="C12">
        <v>4.6845825253022806</v>
      </c>
      <c r="D12">
        <v>4.2670922879999997</v>
      </c>
      <c r="E12">
        <v>4.1762847637158584</v>
      </c>
      <c r="F12">
        <v>4.1773794844695749</v>
      </c>
      <c r="G12">
        <v>4.2798259513638097</v>
      </c>
      <c r="I12" s="6">
        <v>415</v>
      </c>
      <c r="Q12">
        <f t="shared" si="0"/>
        <v>22.362937602184203</v>
      </c>
      <c r="R12">
        <f t="shared" si="1"/>
        <v>6.6677629645176992</v>
      </c>
      <c r="S12">
        <f t="shared" si="2"/>
        <v>4.5908908747962345</v>
      </c>
      <c r="T12">
        <f t="shared" si="3"/>
        <v>4.1817504422399994</v>
      </c>
      <c r="U12">
        <f t="shared" si="4"/>
        <v>4.0927590684415414</v>
      </c>
      <c r="V12">
        <f t="shared" si="5"/>
        <v>4.0938318947801831</v>
      </c>
      <c r="W12">
        <f t="shared" si="6"/>
        <v>4.1942294323365337</v>
      </c>
    </row>
    <row r="13" spans="1:23" ht="15" x14ac:dyDescent="0.3">
      <c r="A13">
        <v>20.811756412960971</v>
      </c>
      <c r="B13">
        <v>6.955871860466579</v>
      </c>
      <c r="C13">
        <v>4.6874058958024776</v>
      </c>
      <c r="D13">
        <v>4.2695925409999997</v>
      </c>
      <c r="E13">
        <v>4.2511765265750956</v>
      </c>
      <c r="F13">
        <v>4.4717081740652693</v>
      </c>
      <c r="G13">
        <v>4.4738325263584997</v>
      </c>
      <c r="I13" s="6">
        <v>405</v>
      </c>
      <c r="Q13">
        <f t="shared" si="0"/>
        <v>20.395521284701751</v>
      </c>
      <c r="R13">
        <f t="shared" si="1"/>
        <v>6.8167544232572475</v>
      </c>
      <c r="S13">
        <f t="shared" si="2"/>
        <v>4.5936577778864276</v>
      </c>
      <c r="T13">
        <f t="shared" si="3"/>
        <v>4.18420069018</v>
      </c>
      <c r="U13">
        <f t="shared" si="4"/>
        <v>4.1661529960435937</v>
      </c>
      <c r="V13">
        <f t="shared" si="5"/>
        <v>4.3822740105839637</v>
      </c>
      <c r="W13">
        <f t="shared" si="6"/>
        <v>4.3843558758313295</v>
      </c>
    </row>
    <row r="14" spans="1:23" ht="15" x14ac:dyDescent="0.3">
      <c r="A14">
        <v>14.74462220594126</v>
      </c>
      <c r="B14">
        <v>7.8911590789247734</v>
      </c>
      <c r="C14">
        <v>5.0749701659118571</v>
      </c>
      <c r="D14">
        <v>2.9801213799999999</v>
      </c>
      <c r="E14">
        <v>2.83421664955506</v>
      </c>
      <c r="F14">
        <v>2.814223538879165</v>
      </c>
      <c r="G14">
        <v>2.8135316906008581</v>
      </c>
      <c r="I14" s="6">
        <v>438</v>
      </c>
      <c r="Q14">
        <f t="shared" si="0"/>
        <v>14.449729761822434</v>
      </c>
      <c r="R14">
        <f t="shared" si="1"/>
        <v>7.7333358973462776</v>
      </c>
      <c r="S14">
        <f t="shared" si="2"/>
        <v>4.9734707625936201</v>
      </c>
      <c r="T14">
        <f t="shared" si="3"/>
        <v>2.9205189523999997</v>
      </c>
      <c r="U14">
        <f t="shared" si="4"/>
        <v>2.7775323165639589</v>
      </c>
      <c r="V14">
        <f t="shared" si="5"/>
        <v>2.7579390681015816</v>
      </c>
      <c r="W14">
        <f t="shared" si="6"/>
        <v>2.7572610567888409</v>
      </c>
    </row>
    <row r="15" spans="1:23" ht="15" x14ac:dyDescent="0.3">
      <c r="A15">
        <v>16.617340891212361</v>
      </c>
      <c r="B15">
        <v>6.4600933936851446</v>
      </c>
      <c r="C15">
        <v>4.1332413925298477</v>
      </c>
      <c r="D15">
        <v>2.4084443480000002</v>
      </c>
      <c r="E15">
        <v>2.5017249479782628</v>
      </c>
      <c r="F15">
        <v>2.5046217439291509</v>
      </c>
      <c r="G15">
        <v>2.5046217439291509</v>
      </c>
      <c r="I15" s="6">
        <v>309</v>
      </c>
      <c r="Q15">
        <f t="shared" si="0"/>
        <v>16.284994073388113</v>
      </c>
      <c r="R15">
        <f t="shared" si="1"/>
        <v>6.3308915258114418</v>
      </c>
      <c r="S15">
        <f t="shared" si="2"/>
        <v>4.0505765646792504</v>
      </c>
      <c r="T15">
        <f t="shared" si="3"/>
        <v>2.3602754610400001</v>
      </c>
      <c r="U15">
        <f t="shared" si="4"/>
        <v>2.4516904490186975</v>
      </c>
      <c r="V15">
        <f t="shared" si="5"/>
        <v>2.4545293090505678</v>
      </c>
      <c r="W15">
        <f t="shared" si="6"/>
        <v>2.4545293090505678</v>
      </c>
    </row>
    <row r="16" spans="1:23" ht="15" x14ac:dyDescent="0.3">
      <c r="A16">
        <v>17.47323335758858</v>
      </c>
      <c r="B16">
        <v>7.8361810539312264</v>
      </c>
      <c r="C16">
        <v>5.3931981979646357</v>
      </c>
      <c r="D16">
        <v>3.0458576480000001</v>
      </c>
      <c r="E16">
        <v>3.3318792367592409</v>
      </c>
      <c r="F16">
        <v>3.276115376731406</v>
      </c>
      <c r="G16">
        <v>3.2685110388391112</v>
      </c>
      <c r="I16" s="6">
        <v>399</v>
      </c>
      <c r="Q16">
        <f t="shared" si="0"/>
        <v>17.123768690436808</v>
      </c>
      <c r="R16">
        <f t="shared" si="1"/>
        <v>7.679457432852602</v>
      </c>
      <c r="S16">
        <f t="shared" si="2"/>
        <v>5.2853342340053429</v>
      </c>
      <c r="T16">
        <f t="shared" si="3"/>
        <v>2.98494049504</v>
      </c>
      <c r="U16">
        <f t="shared" si="4"/>
        <v>3.2652416520240561</v>
      </c>
      <c r="V16">
        <f t="shared" si="5"/>
        <v>3.2105930691967779</v>
      </c>
      <c r="W16">
        <f t="shared" si="6"/>
        <v>3.2031408180623289</v>
      </c>
    </row>
    <row r="17" spans="1:23" ht="15" x14ac:dyDescent="0.3">
      <c r="A17">
        <v>15.57162270654206</v>
      </c>
      <c r="B17">
        <v>7.9764715679462377</v>
      </c>
      <c r="C17">
        <v>3.7633350129849048</v>
      </c>
      <c r="D17">
        <v>2.5512660070000002</v>
      </c>
      <c r="E17">
        <v>2.558797074527345</v>
      </c>
      <c r="F17">
        <v>2.5701976686773951</v>
      </c>
      <c r="G17">
        <v>2.5667295782149622</v>
      </c>
      <c r="I17" s="6">
        <v>322</v>
      </c>
      <c r="Q17">
        <f t="shared" si="0"/>
        <v>15.260190252411219</v>
      </c>
      <c r="R17">
        <f t="shared" si="1"/>
        <v>7.8169421365873131</v>
      </c>
      <c r="S17">
        <f t="shared" si="2"/>
        <v>3.6880683127252065</v>
      </c>
      <c r="T17">
        <f t="shared" si="3"/>
        <v>2.5002406868600002</v>
      </c>
      <c r="U17">
        <f t="shared" si="4"/>
        <v>2.5076211330367979</v>
      </c>
      <c r="V17">
        <f t="shared" si="5"/>
        <v>2.5187937153038473</v>
      </c>
      <c r="W17">
        <f t="shared" si="6"/>
        <v>2.5153949866506631</v>
      </c>
    </row>
    <row r="18" spans="1:23" ht="15" x14ac:dyDescent="0.3">
      <c r="A18">
        <v>16.652605598466589</v>
      </c>
      <c r="B18">
        <v>6.7321461473318447</v>
      </c>
      <c r="C18">
        <v>7.1630215134688093</v>
      </c>
      <c r="D18">
        <v>4.0467773879999998</v>
      </c>
      <c r="E18">
        <v>4.1858690620989698</v>
      </c>
      <c r="F18">
        <v>4.145846400697824</v>
      </c>
      <c r="G18">
        <v>4.1603655112264768</v>
      </c>
      <c r="I18" s="6">
        <v>424</v>
      </c>
      <c r="Q18">
        <f t="shared" si="0"/>
        <v>16.319553486497256</v>
      </c>
      <c r="R18">
        <f t="shared" si="1"/>
        <v>6.5975032243852079</v>
      </c>
      <c r="S18">
        <f t="shared" si="2"/>
        <v>7.019761083199433</v>
      </c>
      <c r="T18">
        <f t="shared" si="3"/>
        <v>3.9658418402399995</v>
      </c>
      <c r="U18">
        <f t="shared" si="4"/>
        <v>4.1021516808569904</v>
      </c>
      <c r="V18">
        <f t="shared" si="5"/>
        <v>4.0629294726838676</v>
      </c>
      <c r="W18">
        <f t="shared" si="6"/>
        <v>4.0771582010019474</v>
      </c>
    </row>
    <row r="19" spans="1:23" ht="15" x14ac:dyDescent="0.3">
      <c r="A19">
        <v>16.415658330185881</v>
      </c>
      <c r="B19">
        <v>6.9783607154972591</v>
      </c>
      <c r="C19">
        <v>5.4130380370805957</v>
      </c>
      <c r="D19">
        <v>3.0487076339999999</v>
      </c>
      <c r="E19">
        <v>3.7731835298146792</v>
      </c>
      <c r="F19">
        <v>3.4751887049579451</v>
      </c>
      <c r="G19">
        <v>3.48735698170508</v>
      </c>
      <c r="I19" s="6">
        <v>419</v>
      </c>
      <c r="Q19">
        <f t="shared" si="0"/>
        <v>16.087345163582164</v>
      </c>
      <c r="R19">
        <f t="shared" si="1"/>
        <v>6.8387935011873138</v>
      </c>
      <c r="S19">
        <f t="shared" si="2"/>
        <v>5.3047772763389833</v>
      </c>
      <c r="T19">
        <f t="shared" si="3"/>
        <v>2.9877334813199998</v>
      </c>
      <c r="U19">
        <f t="shared" si="4"/>
        <v>3.6977198592183855</v>
      </c>
      <c r="V19">
        <f t="shared" si="5"/>
        <v>3.405684930858786</v>
      </c>
      <c r="W19">
        <f t="shared" si="6"/>
        <v>3.4176098420709784</v>
      </c>
    </row>
    <row r="20" spans="1:23" ht="15" x14ac:dyDescent="0.3">
      <c r="A20">
        <v>23.40516492364258</v>
      </c>
      <c r="B20">
        <v>7.5685782210900214</v>
      </c>
      <c r="C20">
        <v>5.5497680697952667</v>
      </c>
      <c r="D20">
        <v>3.887904072</v>
      </c>
      <c r="E20">
        <v>4.0378506182640086</v>
      </c>
      <c r="F20">
        <v>4.0145385991353111</v>
      </c>
      <c r="G20">
        <v>4.0060021543403757</v>
      </c>
      <c r="I20" s="6">
        <v>405</v>
      </c>
      <c r="Q20">
        <f t="shared" si="0"/>
        <v>22.937061625169729</v>
      </c>
      <c r="R20">
        <f t="shared" si="1"/>
        <v>7.4172066566682204</v>
      </c>
      <c r="S20">
        <f t="shared" si="2"/>
        <v>5.4387727083993616</v>
      </c>
      <c r="T20">
        <f t="shared" si="3"/>
        <v>3.8101459905600001</v>
      </c>
      <c r="U20">
        <f t="shared" si="4"/>
        <v>3.9570936058987285</v>
      </c>
      <c r="V20">
        <f t="shared" si="5"/>
        <v>3.9342478271526047</v>
      </c>
      <c r="W20">
        <f t="shared" si="6"/>
        <v>3.9258821112535682</v>
      </c>
    </row>
    <row r="21" spans="1:23" ht="15" x14ac:dyDescent="0.3">
      <c r="A21">
        <v>17.66604203234386</v>
      </c>
      <c r="B21">
        <v>6.7384977260476679</v>
      </c>
      <c r="C21">
        <v>4.1799661299180686</v>
      </c>
      <c r="D21">
        <v>2.6728498510000001</v>
      </c>
      <c r="E21">
        <v>2.5721341530930601</v>
      </c>
      <c r="F21">
        <v>2.591919923939797</v>
      </c>
      <c r="G21">
        <v>2.5955010030043439</v>
      </c>
      <c r="I21" s="6">
        <v>405</v>
      </c>
      <c r="Q21">
        <f t="shared" si="0"/>
        <v>17.312721191696983</v>
      </c>
      <c r="R21">
        <f t="shared" si="1"/>
        <v>6.6037277715267146</v>
      </c>
      <c r="S21">
        <f t="shared" si="2"/>
        <v>4.0963668073197068</v>
      </c>
      <c r="T21">
        <f t="shared" si="3"/>
        <v>2.61939285398</v>
      </c>
      <c r="U21">
        <f t="shared" si="4"/>
        <v>2.5206914700311991</v>
      </c>
      <c r="V21">
        <f t="shared" si="5"/>
        <v>2.5400815254610012</v>
      </c>
      <c r="W21">
        <f t="shared" si="6"/>
        <v>2.5435909829442571</v>
      </c>
    </row>
    <row r="22" spans="1:23" ht="15" x14ac:dyDescent="0.3">
      <c r="A22">
        <v>10.0617449796936</v>
      </c>
      <c r="B22">
        <v>7.3718437008360418</v>
      </c>
      <c r="C22">
        <v>5.6285136543200993</v>
      </c>
      <c r="D22">
        <v>3.2695588440000001</v>
      </c>
      <c r="E22">
        <v>2.8952216706359448</v>
      </c>
      <c r="F22">
        <v>2.950838113571677</v>
      </c>
      <c r="G22">
        <v>2.950838113571677</v>
      </c>
      <c r="I22" s="6">
        <v>373</v>
      </c>
      <c r="Q22">
        <f t="shared" si="0"/>
        <v>9.8605100800997274</v>
      </c>
      <c r="R22">
        <f t="shared" si="1"/>
        <v>7.2244068268193207</v>
      </c>
      <c r="S22">
        <f t="shared" si="2"/>
        <v>5.5159433812336971</v>
      </c>
      <c r="T22">
        <f t="shared" si="3"/>
        <v>3.2041676671200001</v>
      </c>
      <c r="U22">
        <f t="shared" si="4"/>
        <v>2.837317237223226</v>
      </c>
      <c r="V22">
        <f t="shared" si="5"/>
        <v>2.8918213513002433</v>
      </c>
      <c r="W22">
        <f t="shared" si="6"/>
        <v>2.8918213513002433</v>
      </c>
    </row>
    <row r="23" spans="1:23" ht="15" x14ac:dyDescent="0.3">
      <c r="A23">
        <v>17.077823457130929</v>
      </c>
      <c r="B23">
        <v>6.4012213996111313</v>
      </c>
      <c r="C23">
        <v>5.5302056963122439</v>
      </c>
      <c r="D23">
        <v>4.2747900259999998</v>
      </c>
      <c r="E23">
        <v>3.7174845588748782</v>
      </c>
      <c r="F23">
        <v>3.7924980399364849</v>
      </c>
      <c r="G23">
        <v>3.7476314348191</v>
      </c>
      <c r="I23" s="6">
        <v>339</v>
      </c>
      <c r="Q23">
        <f t="shared" si="0"/>
        <v>16.736266987988309</v>
      </c>
      <c r="R23">
        <f t="shared" si="1"/>
        <v>6.2731969716189084</v>
      </c>
      <c r="S23">
        <f t="shared" si="2"/>
        <v>5.4196015823859991</v>
      </c>
      <c r="T23">
        <f t="shared" si="3"/>
        <v>4.1892942254799994</v>
      </c>
      <c r="U23">
        <f t="shared" si="4"/>
        <v>3.6431348676973805</v>
      </c>
      <c r="V23">
        <f t="shared" si="5"/>
        <v>3.7166480791377552</v>
      </c>
      <c r="W23">
        <f t="shared" si="6"/>
        <v>3.6726788061227178</v>
      </c>
    </row>
    <row r="24" spans="1:23" ht="15" x14ac:dyDescent="0.3">
      <c r="A24">
        <v>15.077491029724889</v>
      </c>
      <c r="B24">
        <v>8.607383793843093</v>
      </c>
      <c r="C24">
        <v>4.3296123208245412</v>
      </c>
      <c r="D24">
        <v>2.7162754229999999</v>
      </c>
      <c r="E24">
        <v>2.6236113970218269</v>
      </c>
      <c r="F24">
        <v>3.1772345265336379</v>
      </c>
      <c r="G24">
        <v>3.175254629724293</v>
      </c>
      <c r="I24" s="6">
        <v>404</v>
      </c>
      <c r="Q24">
        <f t="shared" si="0"/>
        <v>14.775941209130391</v>
      </c>
      <c r="R24">
        <f t="shared" si="1"/>
        <v>8.4352361179662303</v>
      </c>
      <c r="S24">
        <f t="shared" si="2"/>
        <v>4.24302007440805</v>
      </c>
      <c r="T24">
        <f t="shared" si="3"/>
        <v>2.6619499145400001</v>
      </c>
      <c r="U24">
        <f t="shared" si="4"/>
        <v>2.5711391690813903</v>
      </c>
      <c r="V24">
        <f t="shared" si="5"/>
        <v>3.113689836002965</v>
      </c>
      <c r="W24">
        <f t="shared" si="6"/>
        <v>3.111749537129807</v>
      </c>
    </row>
    <row r="25" spans="1:23" ht="15" x14ac:dyDescent="0.3">
      <c r="A25">
        <v>16.536927457137349</v>
      </c>
      <c r="B25">
        <v>7.1420877180726841</v>
      </c>
      <c r="C25">
        <v>3.7292941949889489</v>
      </c>
      <c r="D25">
        <v>2.6041290739999998</v>
      </c>
      <c r="E25">
        <v>2.555151199529444</v>
      </c>
      <c r="F25">
        <v>2.554540711346625</v>
      </c>
      <c r="G25">
        <v>2.5544609666643061</v>
      </c>
      <c r="I25" s="6">
        <v>361</v>
      </c>
      <c r="Q25">
        <f t="shared" si="0"/>
        <v>16.206188907994601</v>
      </c>
      <c r="R25">
        <f t="shared" si="1"/>
        <v>6.9992459637112301</v>
      </c>
      <c r="S25">
        <f t="shared" si="2"/>
        <v>3.6547083110891698</v>
      </c>
      <c r="T25">
        <f t="shared" si="3"/>
        <v>2.5520464925199997</v>
      </c>
      <c r="U25">
        <f t="shared" si="4"/>
        <v>2.5040481755388551</v>
      </c>
      <c r="V25">
        <f t="shared" si="5"/>
        <v>2.5034498971196926</v>
      </c>
      <c r="W25">
        <f t="shared" si="6"/>
        <v>2.5033717473310197</v>
      </c>
    </row>
    <row r="26" spans="1:23" ht="15" x14ac:dyDescent="0.3">
      <c r="A26">
        <v>16.776543933494359</v>
      </c>
      <c r="B26">
        <v>6.513464962445604</v>
      </c>
      <c r="C26">
        <v>8.7608350617369783</v>
      </c>
      <c r="D26">
        <v>5.9898168070000004</v>
      </c>
      <c r="E26">
        <v>4.6729987805893147</v>
      </c>
      <c r="F26">
        <v>4.6534137997090612</v>
      </c>
      <c r="G26">
        <v>4.6768716834279163</v>
      </c>
      <c r="I26" s="6">
        <v>433</v>
      </c>
      <c r="Q26">
        <f t="shared" si="0"/>
        <v>16.44101305482447</v>
      </c>
      <c r="R26">
        <f t="shared" si="1"/>
        <v>6.383195663196692</v>
      </c>
      <c r="S26">
        <f t="shared" si="2"/>
        <v>8.585618360502238</v>
      </c>
      <c r="T26">
        <f t="shared" si="3"/>
        <v>5.8700204708600001</v>
      </c>
      <c r="U26">
        <f t="shared" si="4"/>
        <v>4.5795388049775285</v>
      </c>
      <c r="V26">
        <f t="shared" si="5"/>
        <v>4.5603455237148802</v>
      </c>
      <c r="W26">
        <f t="shared" si="6"/>
        <v>4.5833342497593579</v>
      </c>
    </row>
    <row r="27" spans="1:23" ht="15" x14ac:dyDescent="0.3">
      <c r="A27">
        <v>19.567035358455641</v>
      </c>
      <c r="B27">
        <v>8.9358259240208096</v>
      </c>
      <c r="C27">
        <v>5.3699605258887022</v>
      </c>
      <c r="D27">
        <v>3.6561428739999999</v>
      </c>
      <c r="E27">
        <v>3.184510584368399</v>
      </c>
      <c r="F27">
        <v>3.3737640843329562</v>
      </c>
      <c r="G27">
        <v>3.5950996353767022</v>
      </c>
      <c r="I27" s="6">
        <v>491</v>
      </c>
      <c r="Q27">
        <f t="shared" si="0"/>
        <v>19.175694651286527</v>
      </c>
      <c r="R27">
        <f t="shared" si="1"/>
        <v>8.757109405540394</v>
      </c>
      <c r="S27">
        <f t="shared" si="2"/>
        <v>5.2625613153709283</v>
      </c>
      <c r="T27">
        <f t="shared" si="3"/>
        <v>3.5830200165199999</v>
      </c>
      <c r="U27">
        <f t="shared" si="4"/>
        <v>3.1208203726810311</v>
      </c>
      <c r="V27">
        <f t="shared" si="5"/>
        <v>3.3062888026462969</v>
      </c>
      <c r="W27">
        <f t="shared" si="6"/>
        <v>3.5231976426691682</v>
      </c>
    </row>
    <row r="28" spans="1:23" ht="15" x14ac:dyDescent="0.3">
      <c r="A28">
        <v>18.186677191891121</v>
      </c>
      <c r="B28">
        <v>8.0468359144664099</v>
      </c>
      <c r="C28">
        <v>5.008692684094985</v>
      </c>
      <c r="D28">
        <v>3.6193052369999998</v>
      </c>
      <c r="E28">
        <v>3.1471602727732928</v>
      </c>
      <c r="F28">
        <v>3.145545736738192</v>
      </c>
      <c r="G28">
        <v>3.1471997054394931</v>
      </c>
      <c r="I28" s="6">
        <v>418</v>
      </c>
      <c r="Q28">
        <f t="shared" si="0"/>
        <v>17.822943648053297</v>
      </c>
      <c r="R28">
        <f t="shared" si="1"/>
        <v>7.8858991961770819</v>
      </c>
      <c r="S28">
        <f t="shared" si="2"/>
        <v>4.9085188304130849</v>
      </c>
      <c r="T28">
        <f t="shared" si="3"/>
        <v>3.5469191322599998</v>
      </c>
      <c r="U28">
        <f t="shared" si="4"/>
        <v>3.0842170673178271</v>
      </c>
      <c r="V28">
        <f t="shared" si="5"/>
        <v>3.0826348220034281</v>
      </c>
      <c r="W28">
        <f t="shared" si="6"/>
        <v>3.0842557113307034</v>
      </c>
    </row>
    <row r="29" spans="1:23" ht="15" x14ac:dyDescent="0.3">
      <c r="A29">
        <v>14.86748416444885</v>
      </c>
      <c r="B29">
        <v>7.3241206501986298</v>
      </c>
      <c r="C29">
        <v>4.0880841009943509</v>
      </c>
      <c r="D29">
        <v>3.4716498370000002</v>
      </c>
      <c r="E29">
        <v>3.2572484149555772</v>
      </c>
      <c r="F29">
        <v>3.2639788678194961</v>
      </c>
      <c r="G29">
        <v>3.2639223051386042</v>
      </c>
      <c r="I29" s="6">
        <v>385</v>
      </c>
      <c r="Q29">
        <f t="shared" si="0"/>
        <v>14.570134481159872</v>
      </c>
      <c r="R29">
        <f t="shared" si="1"/>
        <v>7.1776382371946568</v>
      </c>
      <c r="S29">
        <f t="shared" si="2"/>
        <v>4.006322418974464</v>
      </c>
      <c r="T29">
        <f t="shared" si="3"/>
        <v>3.4022168402599999</v>
      </c>
      <c r="U29">
        <f t="shared" si="4"/>
        <v>3.1921034466564655</v>
      </c>
      <c r="V29">
        <f t="shared" si="5"/>
        <v>3.198699290463106</v>
      </c>
      <c r="W29">
        <f t="shared" si="6"/>
        <v>3.1986438590358319</v>
      </c>
    </row>
    <row r="30" spans="1:23" ht="15" x14ac:dyDescent="0.3">
      <c r="A30">
        <v>14.41614631499402</v>
      </c>
      <c r="B30">
        <v>7.330660418258736</v>
      </c>
      <c r="C30">
        <v>4.3101842365826322</v>
      </c>
      <c r="D30">
        <v>3.3284251779999998</v>
      </c>
      <c r="E30">
        <v>3.397127324797097</v>
      </c>
      <c r="F30">
        <v>3.397483364707341</v>
      </c>
      <c r="G30">
        <v>3.3961262277842339</v>
      </c>
      <c r="I30" s="6">
        <v>386</v>
      </c>
      <c r="Q30">
        <f t="shared" si="0"/>
        <v>14.127823388694139</v>
      </c>
      <c r="R30">
        <f t="shared" si="1"/>
        <v>7.1840472098935608</v>
      </c>
      <c r="S30">
        <f t="shared" si="2"/>
        <v>4.2239805518509792</v>
      </c>
      <c r="T30">
        <f t="shared" si="3"/>
        <v>3.2618566744399997</v>
      </c>
      <c r="U30">
        <f t="shared" si="4"/>
        <v>3.3291847783011552</v>
      </c>
      <c r="V30">
        <f t="shared" si="5"/>
        <v>3.3295336974131939</v>
      </c>
      <c r="W30">
        <f t="shared" si="6"/>
        <v>3.328203703228549</v>
      </c>
    </row>
    <row r="31" spans="1:23" ht="15" x14ac:dyDescent="0.3">
      <c r="A31">
        <v>14.60125965833941</v>
      </c>
      <c r="B31">
        <v>8.5386783924218541</v>
      </c>
      <c r="C31">
        <v>5.0604106287236066</v>
      </c>
      <c r="D31">
        <v>3.1865144929999998</v>
      </c>
      <c r="E31">
        <v>3.2754003907254252</v>
      </c>
      <c r="F31">
        <v>3.2754003907254252</v>
      </c>
      <c r="G31">
        <v>3.2754003907254252</v>
      </c>
      <c r="I31" s="6">
        <v>334</v>
      </c>
      <c r="Q31">
        <f t="shared" si="0"/>
        <v>14.309234465172622</v>
      </c>
      <c r="R31">
        <f t="shared" si="1"/>
        <v>8.3679048245734169</v>
      </c>
      <c r="S31">
        <f t="shared" si="2"/>
        <v>4.9592024161491342</v>
      </c>
      <c r="T31">
        <f t="shared" si="3"/>
        <v>3.1227842031399997</v>
      </c>
      <c r="U31">
        <f t="shared" si="4"/>
        <v>3.2098923829109167</v>
      </c>
      <c r="V31">
        <f t="shared" si="5"/>
        <v>3.2098923829109167</v>
      </c>
      <c r="W31">
        <f t="shared" si="6"/>
        <v>3.2098923829109167</v>
      </c>
    </row>
    <row r="32" spans="1:23" ht="15" x14ac:dyDescent="0.3">
      <c r="A32">
        <v>16.270589106732849</v>
      </c>
      <c r="B32">
        <v>8.009854989480889</v>
      </c>
      <c r="C32">
        <v>9.3101691795121422</v>
      </c>
      <c r="D32">
        <v>4.2753350799999996</v>
      </c>
      <c r="E32">
        <v>4.1092078524570397</v>
      </c>
      <c r="F32">
        <v>4.4745810364969207</v>
      </c>
      <c r="G32">
        <v>4.4745810364969207</v>
      </c>
      <c r="I32" s="6">
        <v>345</v>
      </c>
      <c r="Q32">
        <f t="shared" si="0"/>
        <v>15.945177324598193</v>
      </c>
      <c r="R32">
        <f t="shared" si="1"/>
        <v>7.8496578896912714</v>
      </c>
      <c r="S32">
        <f t="shared" si="2"/>
        <v>9.1239657959218992</v>
      </c>
      <c r="T32">
        <f t="shared" si="3"/>
        <v>4.1898283783999997</v>
      </c>
      <c r="U32">
        <f t="shared" si="4"/>
        <v>4.0270236954078991</v>
      </c>
      <c r="V32">
        <f t="shared" si="5"/>
        <v>4.3850894157669824</v>
      </c>
      <c r="W32">
        <f t="shared" si="6"/>
        <v>4.3850894157669824</v>
      </c>
    </row>
    <row r="33" spans="1:23" ht="15" x14ac:dyDescent="0.3">
      <c r="A33">
        <v>14.942680779515401</v>
      </c>
      <c r="B33">
        <v>7.6571181894147848</v>
      </c>
      <c r="C33">
        <v>5.1877376007138896</v>
      </c>
      <c r="D33">
        <v>4.5934325969999996</v>
      </c>
      <c r="E33">
        <v>4.8354724979230008</v>
      </c>
      <c r="F33">
        <v>4.8321477361826286</v>
      </c>
      <c r="G33">
        <v>4.8476265522750834</v>
      </c>
      <c r="I33" s="6">
        <v>388</v>
      </c>
      <c r="Q33">
        <f t="shared" si="0"/>
        <v>14.643827163925092</v>
      </c>
      <c r="R33">
        <f t="shared" si="1"/>
        <v>7.5039758256264886</v>
      </c>
      <c r="S33">
        <f t="shared" si="2"/>
        <v>5.0839828486996117</v>
      </c>
      <c r="T33">
        <f t="shared" si="3"/>
        <v>4.5015639450599991</v>
      </c>
      <c r="U33">
        <f t="shared" si="4"/>
        <v>4.7387630479645404</v>
      </c>
      <c r="V33">
        <f t="shared" si="5"/>
        <v>4.7355047814589764</v>
      </c>
      <c r="W33">
        <f t="shared" si="6"/>
        <v>4.7506740212295817</v>
      </c>
    </row>
    <row r="34" spans="1:23" ht="15" x14ac:dyDescent="0.3">
      <c r="A34">
        <v>10.63484097445602</v>
      </c>
      <c r="B34">
        <v>8.3340934086997969</v>
      </c>
      <c r="C34">
        <v>5.287342853640487</v>
      </c>
      <c r="D34">
        <v>3.4083381830000001</v>
      </c>
      <c r="E34">
        <v>3.6596755671103569</v>
      </c>
      <c r="F34">
        <v>2.6849781348504949</v>
      </c>
      <c r="G34">
        <v>2.9140592556058089</v>
      </c>
      <c r="I34" s="6">
        <v>445</v>
      </c>
      <c r="Q34">
        <f t="shared" ref="Q34:Q65" si="7">A34*0.98</f>
        <v>10.422144154966899</v>
      </c>
      <c r="R34">
        <f t="shared" ref="R34:R65" si="8">B34*0.98</f>
        <v>8.1674115405258014</v>
      </c>
      <c r="S34">
        <f t="shared" ref="S34:S65" si="9">C34*0.98</f>
        <v>5.181595996567677</v>
      </c>
      <c r="T34">
        <f t="shared" ref="T34:T65" si="10">D34*0.98</f>
        <v>3.3401714193400003</v>
      </c>
      <c r="U34">
        <f t="shared" ref="U34:U65" si="11">E34*0.98</f>
        <v>3.5864820557681498</v>
      </c>
      <c r="V34">
        <f t="shared" ref="V34:V65" si="12">F34*0.98</f>
        <v>2.631278572153485</v>
      </c>
      <c r="W34">
        <f t="shared" ref="W34:W65" si="13">G34*0.98</f>
        <v>2.8557780704936926</v>
      </c>
    </row>
    <row r="35" spans="1:23" ht="15" x14ac:dyDescent="0.3">
      <c r="A35">
        <v>21.953798702784979</v>
      </c>
      <c r="B35">
        <v>7.1159970808259452</v>
      </c>
      <c r="C35">
        <v>5.1349012073475713</v>
      </c>
      <c r="D35">
        <v>4.163525505</v>
      </c>
      <c r="E35">
        <v>3.8167681250446659</v>
      </c>
      <c r="F35">
        <v>3.8141465306562998</v>
      </c>
      <c r="G35">
        <v>3.815392537452357</v>
      </c>
      <c r="I35" s="6">
        <v>385</v>
      </c>
      <c r="Q35">
        <f t="shared" si="7"/>
        <v>21.514722728729279</v>
      </c>
      <c r="R35">
        <f t="shared" si="8"/>
        <v>6.9736771392094266</v>
      </c>
      <c r="S35">
        <f t="shared" si="9"/>
        <v>5.03220318320062</v>
      </c>
      <c r="T35">
        <f t="shared" si="10"/>
        <v>4.0802549948999998</v>
      </c>
      <c r="U35">
        <f t="shared" si="11"/>
        <v>3.7404327625437723</v>
      </c>
      <c r="V35">
        <f t="shared" si="12"/>
        <v>3.7378636000431738</v>
      </c>
      <c r="W35">
        <f t="shared" si="13"/>
        <v>3.7390846867033098</v>
      </c>
    </row>
    <row r="36" spans="1:23" ht="15" x14ac:dyDescent="0.3">
      <c r="A36">
        <v>15.977195165680939</v>
      </c>
      <c r="B36">
        <v>6.9437669827415878</v>
      </c>
      <c r="C36">
        <v>5.9208184117611236</v>
      </c>
      <c r="D36">
        <v>3.078999729</v>
      </c>
      <c r="E36">
        <v>3.0407966420392789</v>
      </c>
      <c r="F36">
        <v>3.0286945928840341</v>
      </c>
      <c r="G36">
        <v>3.0286945928840341</v>
      </c>
      <c r="I36" s="6">
        <v>387</v>
      </c>
      <c r="Q36">
        <f t="shared" si="7"/>
        <v>15.65765126236732</v>
      </c>
      <c r="R36">
        <f t="shared" si="8"/>
        <v>6.8048916430867559</v>
      </c>
      <c r="S36">
        <f t="shared" si="9"/>
        <v>5.8024020435259009</v>
      </c>
      <c r="T36">
        <f t="shared" si="10"/>
        <v>3.0174197344199998</v>
      </c>
      <c r="U36">
        <f t="shared" si="11"/>
        <v>2.9799807091984931</v>
      </c>
      <c r="V36">
        <f t="shared" si="12"/>
        <v>2.9681207010263533</v>
      </c>
      <c r="W36">
        <f t="shared" si="13"/>
        <v>2.9681207010263533</v>
      </c>
    </row>
    <row r="37" spans="1:23" ht="15" x14ac:dyDescent="0.3">
      <c r="A37">
        <v>20.208439233245869</v>
      </c>
      <c r="B37">
        <v>8.1864099919919333</v>
      </c>
      <c r="C37">
        <v>4.1013168962208466</v>
      </c>
      <c r="D37">
        <v>3.7841419209999998</v>
      </c>
      <c r="E37">
        <v>3.8102489366930401</v>
      </c>
      <c r="F37">
        <v>3.8125228446167392</v>
      </c>
      <c r="G37">
        <v>3.8130300856806509</v>
      </c>
      <c r="I37" s="6">
        <v>420</v>
      </c>
      <c r="Q37">
        <f t="shared" si="7"/>
        <v>19.804270448580951</v>
      </c>
      <c r="R37">
        <f t="shared" si="8"/>
        <v>8.0226817921520936</v>
      </c>
      <c r="S37">
        <f t="shared" si="9"/>
        <v>4.0192905582964293</v>
      </c>
      <c r="T37">
        <f t="shared" si="10"/>
        <v>3.7084590825799997</v>
      </c>
      <c r="U37">
        <f t="shared" si="11"/>
        <v>3.7340439579591793</v>
      </c>
      <c r="V37">
        <f t="shared" si="12"/>
        <v>3.7362723877244042</v>
      </c>
      <c r="W37">
        <f t="shared" si="13"/>
        <v>3.7367694839670378</v>
      </c>
    </row>
    <row r="38" spans="1:23" ht="15" x14ac:dyDescent="0.3">
      <c r="A38">
        <v>21.20371659071062</v>
      </c>
      <c r="B38">
        <v>8.4786358649734375</v>
      </c>
      <c r="C38">
        <v>4.240736288377339</v>
      </c>
      <c r="D38">
        <v>2.699858834</v>
      </c>
      <c r="E38">
        <v>2.7656577232530748</v>
      </c>
      <c r="F38">
        <v>2.7761741077428108</v>
      </c>
      <c r="G38">
        <v>2.7761741077428108</v>
      </c>
      <c r="I38" s="6">
        <v>341</v>
      </c>
      <c r="Q38">
        <f t="shared" si="7"/>
        <v>20.779642258896406</v>
      </c>
      <c r="R38">
        <f t="shared" si="8"/>
        <v>8.3090631476739691</v>
      </c>
      <c r="S38">
        <f t="shared" si="9"/>
        <v>4.1559215626097918</v>
      </c>
      <c r="T38">
        <f t="shared" si="10"/>
        <v>2.6458616573199998</v>
      </c>
      <c r="U38">
        <f t="shared" si="11"/>
        <v>2.7103445687880132</v>
      </c>
      <c r="V38">
        <f t="shared" si="12"/>
        <v>2.7206506255879543</v>
      </c>
      <c r="W38">
        <f t="shared" si="13"/>
        <v>2.7206506255879543</v>
      </c>
    </row>
    <row r="39" spans="1:23" ht="15" x14ac:dyDescent="0.3">
      <c r="A39">
        <v>20.36811510718308</v>
      </c>
      <c r="B39">
        <v>7.2837395037400814</v>
      </c>
      <c r="C39">
        <v>5.8752308721213362</v>
      </c>
      <c r="D39">
        <v>3.7366908319999999</v>
      </c>
      <c r="E39">
        <v>4.1822082257327136</v>
      </c>
      <c r="F39">
        <v>4.1738893324333084</v>
      </c>
      <c r="G39">
        <v>4.1749292754924339</v>
      </c>
      <c r="I39" s="6">
        <v>361</v>
      </c>
      <c r="Q39">
        <f t="shared" si="7"/>
        <v>19.960752805039419</v>
      </c>
      <c r="R39">
        <f t="shared" si="8"/>
        <v>7.1380647136652797</v>
      </c>
      <c r="S39">
        <f t="shared" si="9"/>
        <v>5.757726254678909</v>
      </c>
      <c r="T39">
        <f t="shared" si="10"/>
        <v>3.6619570153599996</v>
      </c>
      <c r="U39">
        <f t="shared" si="11"/>
        <v>4.0985640612180596</v>
      </c>
      <c r="V39">
        <f t="shared" si="12"/>
        <v>4.0904115457846419</v>
      </c>
      <c r="W39">
        <f t="shared" si="13"/>
        <v>4.0914306899825847</v>
      </c>
    </row>
    <row r="40" spans="1:23" ht="15" x14ac:dyDescent="0.3">
      <c r="A40">
        <v>16.266070258896079</v>
      </c>
      <c r="B40">
        <v>8.0951096558684057</v>
      </c>
      <c r="C40">
        <v>5.2580158845329894</v>
      </c>
      <c r="D40">
        <v>3.883393195</v>
      </c>
      <c r="E40">
        <v>4.6460924161576029</v>
      </c>
      <c r="F40">
        <v>4.6547114191696224</v>
      </c>
      <c r="G40">
        <v>4.6566911024938449</v>
      </c>
      <c r="I40" s="6">
        <v>378</v>
      </c>
      <c r="Q40">
        <f t="shared" si="7"/>
        <v>15.940748853718157</v>
      </c>
      <c r="R40">
        <f t="shared" si="8"/>
        <v>7.9332074627510378</v>
      </c>
      <c r="S40">
        <f t="shared" si="9"/>
        <v>5.1528555668423293</v>
      </c>
      <c r="T40">
        <f t="shared" si="10"/>
        <v>3.8057253311000001</v>
      </c>
      <c r="U40">
        <f t="shared" si="11"/>
        <v>4.5531705678344512</v>
      </c>
      <c r="V40">
        <f t="shared" si="12"/>
        <v>4.5616171907862295</v>
      </c>
      <c r="W40">
        <f t="shared" si="13"/>
        <v>4.5635572804439679</v>
      </c>
    </row>
    <row r="41" spans="1:23" ht="15" x14ac:dyDescent="0.3">
      <c r="A41">
        <v>19.240665972066552</v>
      </c>
      <c r="B41">
        <v>9.9857339030447783</v>
      </c>
      <c r="C41">
        <v>6.4740106948821268</v>
      </c>
      <c r="D41">
        <v>4.1749704970000003</v>
      </c>
      <c r="E41">
        <v>4.6459220050354766</v>
      </c>
      <c r="F41">
        <v>4.8927694282949092</v>
      </c>
      <c r="G41">
        <v>5.0033439463889087</v>
      </c>
      <c r="I41" s="6">
        <v>362</v>
      </c>
      <c r="Q41">
        <f t="shared" si="7"/>
        <v>18.85585265262522</v>
      </c>
      <c r="R41">
        <f t="shared" si="8"/>
        <v>9.7860192249838818</v>
      </c>
      <c r="S41">
        <f t="shared" si="9"/>
        <v>6.344530480984484</v>
      </c>
      <c r="T41">
        <f t="shared" si="10"/>
        <v>4.0914710870600004</v>
      </c>
      <c r="U41">
        <f t="shared" si="11"/>
        <v>4.5530035649347669</v>
      </c>
      <c r="V41">
        <f t="shared" si="12"/>
        <v>4.7949140397290106</v>
      </c>
      <c r="W41">
        <f t="shared" si="13"/>
        <v>4.9032770674611301</v>
      </c>
    </row>
    <row r="42" spans="1:23" ht="15" x14ac:dyDescent="0.3">
      <c r="A42">
        <v>11.93860463425194</v>
      </c>
      <c r="B42">
        <v>7.4646716719967978</v>
      </c>
      <c r="C42">
        <v>4.8277863881884118</v>
      </c>
      <c r="D42">
        <v>4.4725968150000002</v>
      </c>
      <c r="E42">
        <v>4.1330581782291373</v>
      </c>
      <c r="F42">
        <v>4.1825136078882252</v>
      </c>
      <c r="G42">
        <v>4.163814573482207</v>
      </c>
      <c r="I42" s="6">
        <v>387</v>
      </c>
      <c r="Q42">
        <f t="shared" si="7"/>
        <v>11.6998325415669</v>
      </c>
      <c r="R42">
        <f t="shared" si="8"/>
        <v>7.3153782385568613</v>
      </c>
      <c r="S42">
        <f t="shared" si="9"/>
        <v>4.731230660424643</v>
      </c>
      <c r="T42">
        <f t="shared" si="10"/>
        <v>4.3831448787000005</v>
      </c>
      <c r="U42">
        <f t="shared" si="11"/>
        <v>4.0503970146645543</v>
      </c>
      <c r="V42">
        <f t="shared" si="12"/>
        <v>4.0988633357304609</v>
      </c>
      <c r="W42">
        <f t="shared" si="13"/>
        <v>4.0805382820125624</v>
      </c>
    </row>
    <row r="43" spans="1:23" ht="15" x14ac:dyDescent="0.3">
      <c r="A43">
        <v>14.861627276750291</v>
      </c>
      <c r="B43">
        <v>7.0086701116078984</v>
      </c>
      <c r="C43">
        <v>4.8725097100471917</v>
      </c>
      <c r="D43">
        <v>3.4550249819999999</v>
      </c>
      <c r="E43">
        <v>3.4427542267435531</v>
      </c>
      <c r="F43">
        <v>3.4382357350635262</v>
      </c>
      <c r="G43">
        <v>3.439928748970952</v>
      </c>
      <c r="I43" s="6">
        <v>385</v>
      </c>
      <c r="Q43">
        <f t="shared" si="7"/>
        <v>14.564394731215284</v>
      </c>
      <c r="R43">
        <f t="shared" si="8"/>
        <v>6.8684967093757407</v>
      </c>
      <c r="S43">
        <f t="shared" si="9"/>
        <v>4.7750595158462481</v>
      </c>
      <c r="T43">
        <f t="shared" si="10"/>
        <v>3.3859244823599997</v>
      </c>
      <c r="U43">
        <f t="shared" si="11"/>
        <v>3.3738991422086819</v>
      </c>
      <c r="V43">
        <f t="shared" si="12"/>
        <v>3.3694710203622558</v>
      </c>
      <c r="W43">
        <f t="shared" si="13"/>
        <v>3.3711301739915331</v>
      </c>
    </row>
    <row r="44" spans="1:23" ht="15" x14ac:dyDescent="0.3">
      <c r="A44">
        <v>16.823731236411529</v>
      </c>
      <c r="B44">
        <v>8.1462926454377449</v>
      </c>
      <c r="C44">
        <v>5.4145554064266506</v>
      </c>
      <c r="D44">
        <v>4.487153953</v>
      </c>
      <c r="E44">
        <v>4.4958168266214527</v>
      </c>
      <c r="F44">
        <v>4.5411360281732662</v>
      </c>
      <c r="G44">
        <v>4.4351316239230458</v>
      </c>
      <c r="I44" s="6">
        <v>402</v>
      </c>
      <c r="Q44">
        <f t="shared" si="7"/>
        <v>16.487256611683296</v>
      </c>
      <c r="R44">
        <f t="shared" si="8"/>
        <v>7.9833667925289902</v>
      </c>
      <c r="S44">
        <f t="shared" si="9"/>
        <v>5.3062642982981174</v>
      </c>
      <c r="T44">
        <f t="shared" si="10"/>
        <v>4.3974108739400002</v>
      </c>
      <c r="U44">
        <f t="shared" si="11"/>
        <v>4.4059004900890235</v>
      </c>
      <c r="V44">
        <f t="shared" si="12"/>
        <v>4.4503133076098012</v>
      </c>
      <c r="W44">
        <f t="shared" si="13"/>
        <v>4.3464289914445846</v>
      </c>
    </row>
    <row r="45" spans="1:23" ht="15" x14ac:dyDescent="0.3">
      <c r="A45">
        <v>13.03576841980213</v>
      </c>
      <c r="B45">
        <v>7.7192721190776421</v>
      </c>
      <c r="C45">
        <v>4.1311662324077654</v>
      </c>
      <c r="D45">
        <v>2.500914028</v>
      </c>
      <c r="E45">
        <v>2.903479570069432</v>
      </c>
      <c r="F45">
        <v>2.937979888784878</v>
      </c>
      <c r="G45">
        <v>2.9377092914054561</v>
      </c>
      <c r="I45" s="6">
        <v>406</v>
      </c>
      <c r="Q45">
        <f t="shared" si="7"/>
        <v>12.775053051406086</v>
      </c>
      <c r="R45">
        <f t="shared" si="8"/>
        <v>7.5648866766960889</v>
      </c>
      <c r="S45">
        <f t="shared" si="9"/>
        <v>4.04854290775961</v>
      </c>
      <c r="T45">
        <f t="shared" si="10"/>
        <v>2.4508957474399997</v>
      </c>
      <c r="U45">
        <f t="shared" si="11"/>
        <v>2.8454099786680431</v>
      </c>
      <c r="V45">
        <f t="shared" si="12"/>
        <v>2.8792202910091804</v>
      </c>
      <c r="W45">
        <f t="shared" si="13"/>
        <v>2.8789551055773468</v>
      </c>
    </row>
    <row r="46" spans="1:23" ht="15" x14ac:dyDescent="0.3">
      <c r="A46">
        <v>13.09360141946159</v>
      </c>
      <c r="B46">
        <v>8.9554976130759147</v>
      </c>
      <c r="C46">
        <v>4.7940734478198923</v>
      </c>
      <c r="D46">
        <v>3.4742184329999999</v>
      </c>
      <c r="E46">
        <v>3.2312450060522702</v>
      </c>
      <c r="F46">
        <v>3.2332781377039082</v>
      </c>
      <c r="G46">
        <v>3.231103863820584</v>
      </c>
      <c r="I46" s="6">
        <v>386</v>
      </c>
      <c r="Q46">
        <f t="shared" si="7"/>
        <v>12.831729391072358</v>
      </c>
      <c r="R46">
        <f t="shared" si="8"/>
        <v>8.7763876608143967</v>
      </c>
      <c r="S46">
        <f t="shared" si="9"/>
        <v>4.6981919788634947</v>
      </c>
      <c r="T46">
        <f t="shared" si="10"/>
        <v>3.4047340643399999</v>
      </c>
      <c r="U46">
        <f t="shared" si="11"/>
        <v>3.1666201059312247</v>
      </c>
      <c r="V46">
        <f t="shared" si="12"/>
        <v>3.16861257494983</v>
      </c>
      <c r="W46">
        <f t="shared" si="13"/>
        <v>3.1664817865441721</v>
      </c>
    </row>
    <row r="47" spans="1:23" ht="15" x14ac:dyDescent="0.3">
      <c r="A47">
        <v>19.499805287068892</v>
      </c>
      <c r="B47">
        <v>7.1301909655578317</v>
      </c>
      <c r="C47">
        <v>5.9838262884435709</v>
      </c>
      <c r="D47">
        <v>3.9737768359999999</v>
      </c>
      <c r="E47">
        <v>3.6393521812968479</v>
      </c>
      <c r="F47">
        <v>3.5042484701506682</v>
      </c>
      <c r="G47">
        <v>3.505481313709069</v>
      </c>
      <c r="I47" s="6">
        <v>422</v>
      </c>
      <c r="Q47">
        <f t="shared" si="7"/>
        <v>19.109809181327513</v>
      </c>
      <c r="R47">
        <f t="shared" si="8"/>
        <v>6.9875871462466748</v>
      </c>
      <c r="S47">
        <f t="shared" si="9"/>
        <v>5.8641497626746997</v>
      </c>
      <c r="T47">
        <f t="shared" si="10"/>
        <v>3.8943012992799999</v>
      </c>
      <c r="U47">
        <f t="shared" si="11"/>
        <v>3.5665651376709109</v>
      </c>
      <c r="V47">
        <f t="shared" si="12"/>
        <v>3.4341635007476548</v>
      </c>
      <c r="W47">
        <f t="shared" si="13"/>
        <v>3.4353716874348876</v>
      </c>
    </row>
    <row r="48" spans="1:23" ht="15" x14ac:dyDescent="0.3">
      <c r="A48">
        <v>19.39586210492169</v>
      </c>
      <c r="B48">
        <v>7.0465046413306229</v>
      </c>
      <c r="C48">
        <v>5.840570704290041</v>
      </c>
      <c r="D48">
        <v>2.2315285199999999</v>
      </c>
      <c r="E48">
        <v>3.478730087724863</v>
      </c>
      <c r="F48">
        <v>2.5102663953682871</v>
      </c>
      <c r="G48">
        <v>2.4874309820520688</v>
      </c>
      <c r="I48" s="6">
        <v>426</v>
      </c>
      <c r="Q48">
        <f t="shared" si="7"/>
        <v>19.007944862823255</v>
      </c>
      <c r="R48">
        <f t="shared" si="8"/>
        <v>6.9055745485040108</v>
      </c>
      <c r="S48">
        <f t="shared" si="9"/>
        <v>5.7237592902042405</v>
      </c>
      <c r="T48">
        <f t="shared" si="10"/>
        <v>2.1868979496000001</v>
      </c>
      <c r="U48">
        <f t="shared" si="11"/>
        <v>3.4091554859703659</v>
      </c>
      <c r="V48">
        <f t="shared" si="12"/>
        <v>2.4600610674609213</v>
      </c>
      <c r="W48">
        <f t="shared" si="13"/>
        <v>2.4376823624110275</v>
      </c>
    </row>
    <row r="49" spans="1:23" ht="15" x14ac:dyDescent="0.3">
      <c r="A49">
        <v>20.310050667998919</v>
      </c>
      <c r="B49">
        <v>6.0252686383644836</v>
      </c>
      <c r="C49">
        <v>5.691240347001397</v>
      </c>
      <c r="D49">
        <v>3.7828332310000001</v>
      </c>
      <c r="E49">
        <v>3.673282075226274</v>
      </c>
      <c r="F49">
        <v>3.6587055936826158</v>
      </c>
      <c r="G49">
        <v>3.6439284305506252</v>
      </c>
      <c r="I49" s="6">
        <v>531</v>
      </c>
      <c r="Q49">
        <f t="shared" si="7"/>
        <v>19.90384965463894</v>
      </c>
      <c r="R49">
        <f t="shared" si="8"/>
        <v>5.904763265597194</v>
      </c>
      <c r="S49">
        <f t="shared" si="9"/>
        <v>5.5774155400613692</v>
      </c>
      <c r="T49">
        <f t="shared" si="10"/>
        <v>3.7071765663800003</v>
      </c>
      <c r="U49">
        <f t="shared" si="11"/>
        <v>3.5998164337217484</v>
      </c>
      <c r="V49">
        <f t="shared" si="12"/>
        <v>3.5855314818089634</v>
      </c>
      <c r="W49">
        <f t="shared" si="13"/>
        <v>3.5710498619396125</v>
      </c>
    </row>
    <row r="50" spans="1:23" ht="15" x14ac:dyDescent="0.3">
      <c r="A50">
        <v>17.313300116698969</v>
      </c>
      <c r="B50">
        <v>7.6555999136841519</v>
      </c>
      <c r="C50">
        <v>3.620972135656833</v>
      </c>
      <c r="D50">
        <v>4.0960153010000004</v>
      </c>
      <c r="E50">
        <v>3.6198527642934222</v>
      </c>
      <c r="F50">
        <v>3.5998913021997012</v>
      </c>
      <c r="G50">
        <v>3.5999075664290259</v>
      </c>
      <c r="I50" s="6">
        <v>355</v>
      </c>
      <c r="Q50">
        <f t="shared" si="7"/>
        <v>16.967034114364989</v>
      </c>
      <c r="R50">
        <f t="shared" si="8"/>
        <v>7.5024879154104687</v>
      </c>
      <c r="S50">
        <f t="shared" si="9"/>
        <v>3.5485526929436961</v>
      </c>
      <c r="T50">
        <f t="shared" si="10"/>
        <v>4.0140949949800007</v>
      </c>
      <c r="U50">
        <f t="shared" si="11"/>
        <v>3.5474557090075538</v>
      </c>
      <c r="V50">
        <f t="shared" si="12"/>
        <v>3.527893476155707</v>
      </c>
      <c r="W50">
        <f t="shared" si="13"/>
        <v>3.5279094151004453</v>
      </c>
    </row>
    <row r="51" spans="1:23" ht="15" x14ac:dyDescent="0.3">
      <c r="A51">
        <v>16.777109787236132</v>
      </c>
      <c r="B51">
        <v>7.750126397612795</v>
      </c>
      <c r="C51">
        <v>5.5311531530480069</v>
      </c>
      <c r="D51">
        <v>3.7122003189999999</v>
      </c>
      <c r="E51">
        <v>4.7053208001311893</v>
      </c>
      <c r="F51">
        <v>3.9758038481783951</v>
      </c>
      <c r="G51">
        <v>3.9758038481783951</v>
      </c>
      <c r="I51" s="6">
        <v>337</v>
      </c>
      <c r="Q51">
        <f t="shared" si="7"/>
        <v>16.44156759149141</v>
      </c>
      <c r="R51">
        <f t="shared" si="8"/>
        <v>7.5951238696605392</v>
      </c>
      <c r="S51">
        <f t="shared" si="9"/>
        <v>5.4205300899870466</v>
      </c>
      <c r="T51">
        <f t="shared" si="10"/>
        <v>3.6379563126199996</v>
      </c>
      <c r="U51">
        <f t="shared" si="11"/>
        <v>4.6112143841285658</v>
      </c>
      <c r="V51">
        <f t="shared" si="12"/>
        <v>3.8962877712148272</v>
      </c>
      <c r="W51">
        <f t="shared" si="13"/>
        <v>3.8962877712148272</v>
      </c>
    </row>
    <row r="52" spans="1:23" ht="15" x14ac:dyDescent="0.3">
      <c r="A52">
        <v>18.78320947275197</v>
      </c>
      <c r="B52">
        <v>8.2471487796364915</v>
      </c>
      <c r="C52">
        <v>6.6762459399227332</v>
      </c>
      <c r="D52">
        <v>5.9618097580000002</v>
      </c>
      <c r="E52">
        <v>4.0510048433997543</v>
      </c>
      <c r="F52">
        <v>3.937777817661734</v>
      </c>
      <c r="G52">
        <v>3.9389350830080438</v>
      </c>
      <c r="I52" s="6">
        <v>417</v>
      </c>
      <c r="Q52">
        <f t="shared" si="7"/>
        <v>18.40754528329693</v>
      </c>
      <c r="R52">
        <f t="shared" si="8"/>
        <v>8.0822058040437614</v>
      </c>
      <c r="S52">
        <f t="shared" si="9"/>
        <v>6.5427210211242786</v>
      </c>
      <c r="T52">
        <f t="shared" si="10"/>
        <v>5.8425735628400002</v>
      </c>
      <c r="U52">
        <f t="shared" si="11"/>
        <v>3.9699847465317593</v>
      </c>
      <c r="V52">
        <f t="shared" si="12"/>
        <v>3.8590222613084992</v>
      </c>
      <c r="W52">
        <f t="shared" si="13"/>
        <v>3.860156381347883</v>
      </c>
    </row>
    <row r="53" spans="1:23" ht="15" x14ac:dyDescent="0.3">
      <c r="A53">
        <v>11.10575817206659</v>
      </c>
      <c r="B53">
        <v>5.8956248235305919</v>
      </c>
      <c r="C53">
        <v>4.0944061518369956</v>
      </c>
      <c r="D53">
        <v>2.8030217930000001</v>
      </c>
      <c r="E53">
        <v>2.7950015662155301</v>
      </c>
      <c r="F53">
        <v>2.7593826991643038</v>
      </c>
      <c r="G53">
        <v>2.8424206647303549</v>
      </c>
      <c r="I53" s="6">
        <v>361</v>
      </c>
      <c r="Q53">
        <f t="shared" si="7"/>
        <v>10.883643008625258</v>
      </c>
      <c r="R53">
        <f t="shared" si="8"/>
        <v>5.7777123270599802</v>
      </c>
      <c r="S53">
        <f t="shared" si="9"/>
        <v>4.0125180288002555</v>
      </c>
      <c r="T53">
        <f t="shared" si="10"/>
        <v>2.74696135714</v>
      </c>
      <c r="U53">
        <f t="shared" si="11"/>
        <v>2.7391015348912195</v>
      </c>
      <c r="V53">
        <f t="shared" si="12"/>
        <v>2.7041950451810175</v>
      </c>
      <c r="W53">
        <f t="shared" si="13"/>
        <v>2.7855722514357479</v>
      </c>
    </row>
    <row r="54" spans="1:23" ht="15" x14ac:dyDescent="0.3">
      <c r="A54">
        <v>20.372359545842059</v>
      </c>
      <c r="B54">
        <v>7.8201168864727073</v>
      </c>
      <c r="C54">
        <v>5.3414684254285563</v>
      </c>
      <c r="D54">
        <v>3.4116808440000002</v>
      </c>
      <c r="E54">
        <v>3.5003783338917889</v>
      </c>
      <c r="F54">
        <v>4.0102767334989986</v>
      </c>
      <c r="G54">
        <v>3.95580601071905</v>
      </c>
      <c r="I54" s="6">
        <v>401</v>
      </c>
      <c r="Q54">
        <f t="shared" si="7"/>
        <v>19.964912354925218</v>
      </c>
      <c r="R54">
        <f t="shared" si="8"/>
        <v>7.6637145487432532</v>
      </c>
      <c r="S54">
        <f t="shared" si="9"/>
        <v>5.2346390569199848</v>
      </c>
      <c r="T54">
        <f t="shared" si="10"/>
        <v>3.34344722712</v>
      </c>
      <c r="U54">
        <f t="shared" si="11"/>
        <v>3.4303707672139532</v>
      </c>
      <c r="V54">
        <f t="shared" si="12"/>
        <v>3.9300711988290185</v>
      </c>
      <c r="W54">
        <f t="shared" si="13"/>
        <v>3.8766898905046689</v>
      </c>
    </row>
    <row r="55" spans="1:23" ht="15" x14ac:dyDescent="0.3">
      <c r="A55">
        <v>15.171048756701669</v>
      </c>
      <c r="B55">
        <v>6.8681006966810196</v>
      </c>
      <c r="C55">
        <v>4.9479310482367831</v>
      </c>
      <c r="D55">
        <v>2.3938305899999999</v>
      </c>
      <c r="E55">
        <v>2.345865955833633</v>
      </c>
      <c r="F55">
        <v>2.3547521428227109</v>
      </c>
      <c r="G55">
        <v>2.3681363780441651</v>
      </c>
      <c r="I55" s="6">
        <v>447</v>
      </c>
      <c r="Q55">
        <f t="shared" si="7"/>
        <v>14.867627781567636</v>
      </c>
      <c r="R55">
        <f t="shared" si="8"/>
        <v>6.7307386827473987</v>
      </c>
      <c r="S55">
        <f t="shared" si="9"/>
        <v>4.8489724272720469</v>
      </c>
      <c r="T55">
        <f t="shared" si="10"/>
        <v>2.3459539781999998</v>
      </c>
      <c r="U55">
        <f t="shared" si="11"/>
        <v>2.2989486367169603</v>
      </c>
      <c r="V55">
        <f t="shared" si="12"/>
        <v>2.3076570999662569</v>
      </c>
      <c r="W55">
        <f t="shared" si="13"/>
        <v>2.3207736504832819</v>
      </c>
    </row>
    <row r="56" spans="1:23" ht="15" x14ac:dyDescent="0.3">
      <c r="A56">
        <v>21.471096686569631</v>
      </c>
      <c r="B56">
        <v>7.3886076117355124</v>
      </c>
      <c r="C56">
        <v>4.1813618114367204</v>
      </c>
      <c r="D56">
        <v>2.3375551489999999</v>
      </c>
      <c r="E56">
        <v>1.7996525159473351</v>
      </c>
      <c r="F56">
        <v>2.1371558486432609</v>
      </c>
      <c r="G56">
        <v>2.1358344210536542</v>
      </c>
      <c r="I56" s="6">
        <v>479</v>
      </c>
      <c r="Q56">
        <f t="shared" si="7"/>
        <v>21.041674752838237</v>
      </c>
      <c r="R56">
        <f t="shared" si="8"/>
        <v>7.2408354595008024</v>
      </c>
      <c r="S56">
        <f t="shared" si="9"/>
        <v>4.0977345752079861</v>
      </c>
      <c r="T56">
        <f t="shared" si="10"/>
        <v>2.2908040460199999</v>
      </c>
      <c r="U56">
        <f t="shared" si="11"/>
        <v>1.7636594656283884</v>
      </c>
      <c r="V56">
        <f t="shared" si="12"/>
        <v>2.0944127316703955</v>
      </c>
      <c r="W56">
        <f t="shared" si="13"/>
        <v>2.0931177326325812</v>
      </c>
    </row>
    <row r="57" spans="1:23" ht="15" x14ac:dyDescent="0.3">
      <c r="A57">
        <v>14.55981446697902</v>
      </c>
      <c r="B57">
        <v>7.6519059286570359</v>
      </c>
      <c r="C57">
        <v>4.3868731462356756</v>
      </c>
      <c r="D57">
        <v>3.9674317220000002</v>
      </c>
      <c r="E57">
        <v>4.2371257038608832</v>
      </c>
      <c r="F57">
        <v>4.1552617402250656</v>
      </c>
      <c r="G57">
        <v>4.1530886781275322</v>
      </c>
      <c r="I57" s="6">
        <v>395</v>
      </c>
      <c r="Q57">
        <f t="shared" si="7"/>
        <v>14.268618177639439</v>
      </c>
      <c r="R57">
        <f t="shared" si="8"/>
        <v>7.4988678100838948</v>
      </c>
      <c r="S57">
        <f t="shared" si="9"/>
        <v>4.2991356833109622</v>
      </c>
      <c r="T57">
        <f t="shared" si="10"/>
        <v>3.8880830875600001</v>
      </c>
      <c r="U57">
        <f t="shared" si="11"/>
        <v>4.1523831897836656</v>
      </c>
      <c r="V57">
        <f t="shared" si="12"/>
        <v>4.0721565054205637</v>
      </c>
      <c r="W57">
        <f t="shared" si="13"/>
        <v>4.0700269045649815</v>
      </c>
    </row>
    <row r="58" spans="1:23" ht="15" x14ac:dyDescent="0.3">
      <c r="A58">
        <v>22.331605699787751</v>
      </c>
      <c r="B58">
        <v>7.0771414278325109</v>
      </c>
      <c r="C58">
        <v>5.8292847303220974</v>
      </c>
      <c r="D58">
        <v>2.7678970939999998</v>
      </c>
      <c r="E58">
        <v>2.6623274306646612</v>
      </c>
      <c r="F58">
        <v>3.117906616587995</v>
      </c>
      <c r="G58">
        <v>3.117686706251896</v>
      </c>
      <c r="I58" s="6">
        <v>422</v>
      </c>
      <c r="Q58">
        <f t="shared" si="7"/>
        <v>21.884973585791997</v>
      </c>
      <c r="R58">
        <f t="shared" si="8"/>
        <v>6.9355985992758606</v>
      </c>
      <c r="S58">
        <f t="shared" si="9"/>
        <v>5.7126990357156551</v>
      </c>
      <c r="T58">
        <f t="shared" si="10"/>
        <v>2.7125391521199997</v>
      </c>
      <c r="U58">
        <f t="shared" si="11"/>
        <v>2.609080882051368</v>
      </c>
      <c r="V58">
        <f t="shared" si="12"/>
        <v>3.055548484256235</v>
      </c>
      <c r="W58">
        <f t="shared" si="13"/>
        <v>3.0553329721268581</v>
      </c>
    </row>
    <row r="59" spans="1:23" ht="15" x14ac:dyDescent="0.3">
      <c r="A59">
        <v>18.618652065359189</v>
      </c>
      <c r="B59">
        <v>7.2060823181912994</v>
      </c>
      <c r="C59">
        <v>4.7061795373930631</v>
      </c>
      <c r="D59">
        <v>3.9954644460000002</v>
      </c>
      <c r="E59">
        <v>3.988245897655728</v>
      </c>
      <c r="F59">
        <v>4.0566822887256526</v>
      </c>
      <c r="G59">
        <v>3.686438919160361</v>
      </c>
      <c r="I59" s="6">
        <v>486</v>
      </c>
      <c r="Q59">
        <f t="shared" si="7"/>
        <v>18.246279024052004</v>
      </c>
      <c r="R59">
        <f t="shared" si="8"/>
        <v>7.0619606718274737</v>
      </c>
      <c r="S59">
        <f t="shared" si="9"/>
        <v>4.612055946645202</v>
      </c>
      <c r="T59">
        <f t="shared" si="10"/>
        <v>3.91555515708</v>
      </c>
      <c r="U59">
        <f t="shared" si="11"/>
        <v>3.9084809797026132</v>
      </c>
      <c r="V59">
        <f t="shared" si="12"/>
        <v>3.9755486429511393</v>
      </c>
      <c r="W59">
        <f t="shared" si="13"/>
        <v>3.6127101407771538</v>
      </c>
    </row>
    <row r="60" spans="1:23" ht="15" x14ac:dyDescent="0.3">
      <c r="A60">
        <v>18.69131152231353</v>
      </c>
      <c r="B60">
        <v>8.1055382837672827</v>
      </c>
      <c r="C60">
        <v>6.0812073036411389</v>
      </c>
      <c r="D60">
        <v>2.146704647</v>
      </c>
      <c r="E60">
        <v>2.7297521865252352</v>
      </c>
      <c r="F60">
        <v>3.510856890163812</v>
      </c>
      <c r="G60">
        <v>3.526711199850757</v>
      </c>
      <c r="I60" s="6">
        <v>519</v>
      </c>
      <c r="Q60">
        <f t="shared" si="7"/>
        <v>18.317485291867261</v>
      </c>
      <c r="R60">
        <f t="shared" si="8"/>
        <v>7.9434275180919371</v>
      </c>
      <c r="S60">
        <f t="shared" si="9"/>
        <v>5.959583157568316</v>
      </c>
      <c r="T60">
        <f t="shared" si="10"/>
        <v>2.10377055406</v>
      </c>
      <c r="U60">
        <f t="shared" si="11"/>
        <v>2.6751571427947303</v>
      </c>
      <c r="V60">
        <f t="shared" si="12"/>
        <v>3.4406397523605357</v>
      </c>
      <c r="W60">
        <f t="shared" si="13"/>
        <v>3.456176975853742</v>
      </c>
    </row>
    <row r="61" spans="1:23" ht="15" x14ac:dyDescent="0.3">
      <c r="A61">
        <v>11.20803029318226</v>
      </c>
      <c r="B61">
        <v>6.4153646663907384</v>
      </c>
      <c r="C61">
        <v>6.3982320651951436</v>
      </c>
      <c r="D61">
        <v>2.3773172410000001</v>
      </c>
      <c r="E61">
        <v>4.3309618196720354</v>
      </c>
      <c r="F61">
        <v>4.345078715179973</v>
      </c>
      <c r="G61">
        <v>3.8822472016765008</v>
      </c>
      <c r="I61" s="6">
        <v>431</v>
      </c>
      <c r="Q61">
        <f t="shared" si="7"/>
        <v>10.983869687318615</v>
      </c>
      <c r="R61">
        <f t="shared" si="8"/>
        <v>6.2870573730629236</v>
      </c>
      <c r="S61">
        <f t="shared" si="9"/>
        <v>6.2702674238912408</v>
      </c>
      <c r="T61">
        <f t="shared" si="10"/>
        <v>2.3297708961799999</v>
      </c>
      <c r="U61">
        <f t="shared" si="11"/>
        <v>4.2443425832785948</v>
      </c>
      <c r="V61">
        <f t="shared" si="12"/>
        <v>4.2581771408763736</v>
      </c>
      <c r="W61">
        <f t="shared" si="13"/>
        <v>3.8046022576429706</v>
      </c>
    </row>
    <row r="62" spans="1:23" ht="15" x14ac:dyDescent="0.3">
      <c r="A62">
        <v>23.115938804798269</v>
      </c>
      <c r="B62">
        <v>6.5593123040469559</v>
      </c>
      <c r="C62">
        <v>4.8895853940500222</v>
      </c>
      <c r="D62">
        <v>2.83996615</v>
      </c>
      <c r="E62">
        <v>3.6497097384074921</v>
      </c>
      <c r="F62">
        <v>3.002311102875578</v>
      </c>
      <c r="G62">
        <v>3.002311102875578</v>
      </c>
      <c r="I62" s="6">
        <v>356</v>
      </c>
      <c r="Q62">
        <f t="shared" si="7"/>
        <v>22.653620028702303</v>
      </c>
      <c r="R62">
        <f t="shared" si="8"/>
        <v>6.4281260579660167</v>
      </c>
      <c r="S62">
        <f t="shared" si="9"/>
        <v>4.7917936861690213</v>
      </c>
      <c r="T62">
        <f t="shared" si="10"/>
        <v>2.7831668270000001</v>
      </c>
      <c r="U62">
        <f t="shared" si="11"/>
        <v>3.5767155436393421</v>
      </c>
      <c r="V62">
        <f t="shared" si="12"/>
        <v>2.9422648808180663</v>
      </c>
      <c r="W62">
        <f t="shared" si="13"/>
        <v>2.9422648808180663</v>
      </c>
    </row>
    <row r="63" spans="1:23" ht="15" x14ac:dyDescent="0.3">
      <c r="A63">
        <v>15.367841953679269</v>
      </c>
      <c r="B63">
        <v>7.9536663874477256</v>
      </c>
      <c r="C63">
        <v>4.8715864504149531</v>
      </c>
      <c r="D63">
        <v>4.4173053080000004</v>
      </c>
      <c r="E63">
        <v>3.0980565934345901</v>
      </c>
      <c r="F63">
        <v>3.3528051087220381</v>
      </c>
      <c r="G63">
        <v>3.3528051087220381</v>
      </c>
      <c r="I63" s="6">
        <v>346</v>
      </c>
      <c r="Q63">
        <f t="shared" si="7"/>
        <v>15.060485114605683</v>
      </c>
      <c r="R63">
        <f t="shared" si="8"/>
        <v>7.7945930596987711</v>
      </c>
      <c r="S63">
        <f t="shared" si="9"/>
        <v>4.7741547214066538</v>
      </c>
      <c r="T63">
        <f t="shared" si="10"/>
        <v>4.32895920184</v>
      </c>
      <c r="U63">
        <f t="shared" si="11"/>
        <v>3.0360954615658984</v>
      </c>
      <c r="V63">
        <f t="shared" si="12"/>
        <v>3.2857490065475972</v>
      </c>
      <c r="W63">
        <f t="shared" si="13"/>
        <v>3.2857490065475972</v>
      </c>
    </row>
    <row r="64" spans="1:23" ht="15" x14ac:dyDescent="0.3">
      <c r="A64">
        <v>23.98264600084709</v>
      </c>
      <c r="B64">
        <v>7.4201748227268656</v>
      </c>
      <c r="C64">
        <v>6.6680229409077096</v>
      </c>
      <c r="D64">
        <v>4.8399922589999997</v>
      </c>
      <c r="E64">
        <v>4.9521391311030474</v>
      </c>
      <c r="F64">
        <v>4.9551564728548234</v>
      </c>
      <c r="G64">
        <v>4.9551564728548234</v>
      </c>
      <c r="I64" s="6">
        <v>294</v>
      </c>
      <c r="Q64">
        <f t="shared" si="7"/>
        <v>23.502993080830148</v>
      </c>
      <c r="R64">
        <f t="shared" si="8"/>
        <v>7.2717713262723285</v>
      </c>
      <c r="S64">
        <f t="shared" si="9"/>
        <v>6.5346624820895549</v>
      </c>
      <c r="T64">
        <f t="shared" si="10"/>
        <v>4.7431924138199992</v>
      </c>
      <c r="U64">
        <f t="shared" si="11"/>
        <v>4.8530963484809861</v>
      </c>
      <c r="V64">
        <f t="shared" si="12"/>
        <v>4.8560533433977264</v>
      </c>
      <c r="W64">
        <f t="shared" si="13"/>
        <v>4.8560533433977264</v>
      </c>
    </row>
    <row r="65" spans="1:23" ht="15" x14ac:dyDescent="0.3">
      <c r="A65">
        <v>17.79248585967634</v>
      </c>
      <c r="B65">
        <v>7.0849607834622548</v>
      </c>
      <c r="C65">
        <v>5.4724839682643571</v>
      </c>
      <c r="D65">
        <v>3.1478061689999999</v>
      </c>
      <c r="E65">
        <v>2.6125050962973688</v>
      </c>
      <c r="F65">
        <v>2.590898333729478</v>
      </c>
      <c r="G65">
        <v>2.590898333729478</v>
      </c>
      <c r="I65" s="6">
        <v>379</v>
      </c>
      <c r="Q65">
        <f t="shared" si="7"/>
        <v>17.436636142482811</v>
      </c>
      <c r="R65">
        <f t="shared" si="8"/>
        <v>6.9432615677930096</v>
      </c>
      <c r="S65">
        <f t="shared" si="9"/>
        <v>5.3630342888990699</v>
      </c>
      <c r="T65">
        <f t="shared" si="10"/>
        <v>3.0848500456199996</v>
      </c>
      <c r="U65">
        <f t="shared" si="11"/>
        <v>2.5602549943714212</v>
      </c>
      <c r="V65">
        <f t="shared" si="12"/>
        <v>2.5390803670548885</v>
      </c>
      <c r="W65">
        <f t="shared" si="13"/>
        <v>2.5390803670548885</v>
      </c>
    </row>
    <row r="66" spans="1:23" ht="15" x14ac:dyDescent="0.3">
      <c r="A66">
        <v>15.85820590207995</v>
      </c>
      <c r="B66">
        <v>7.6732959456880181</v>
      </c>
      <c r="C66">
        <v>4.7229477282468331</v>
      </c>
      <c r="D66">
        <v>4.4627573500000004</v>
      </c>
      <c r="E66">
        <v>3.7389695360050341</v>
      </c>
      <c r="F66">
        <v>4.0334508858043847</v>
      </c>
      <c r="G66">
        <v>4.0334508858043847</v>
      </c>
      <c r="I66" s="6">
        <v>335</v>
      </c>
      <c r="Q66">
        <f t="shared" ref="Q66:Q101" si="14">A66*0.98</f>
        <v>15.541041784038351</v>
      </c>
      <c r="R66">
        <f t="shared" ref="R66:R101" si="15">B66*0.98</f>
        <v>7.5198300267742573</v>
      </c>
      <c r="S66">
        <f t="shared" ref="S66:S101" si="16">C66*0.98</f>
        <v>4.6284887736818963</v>
      </c>
      <c r="T66">
        <f t="shared" ref="T66:T101" si="17">D66*0.98</f>
        <v>4.3735022030000001</v>
      </c>
      <c r="U66">
        <f t="shared" ref="U66:U101" si="18">E66*0.98</f>
        <v>3.6641901452849335</v>
      </c>
      <c r="V66">
        <f t="shared" ref="V66:V101" si="19">F66*0.98</f>
        <v>3.9527818680882971</v>
      </c>
      <c r="W66">
        <f t="shared" ref="W66:W101" si="20">G66*0.98</f>
        <v>3.9527818680882971</v>
      </c>
    </row>
    <row r="67" spans="1:23" ht="15" x14ac:dyDescent="0.3">
      <c r="A67">
        <v>15.81384124851358</v>
      </c>
      <c r="B67">
        <v>6.8795108546152646</v>
      </c>
      <c r="C67">
        <v>3.4231896914417441</v>
      </c>
      <c r="D67">
        <v>2.3219128329999998</v>
      </c>
      <c r="E67">
        <v>2.4890662605080922</v>
      </c>
      <c r="F67">
        <v>2.365990682138583</v>
      </c>
      <c r="G67">
        <v>2.370327856087787</v>
      </c>
      <c r="I67" s="6">
        <v>477</v>
      </c>
      <c r="Q67">
        <f t="shared" si="14"/>
        <v>15.497564423543308</v>
      </c>
      <c r="R67">
        <f t="shared" si="15"/>
        <v>6.7419206375229592</v>
      </c>
      <c r="S67">
        <f t="shared" si="16"/>
        <v>3.3547258976129091</v>
      </c>
      <c r="T67">
        <f t="shared" si="17"/>
        <v>2.2754745763399997</v>
      </c>
      <c r="U67">
        <f t="shared" si="18"/>
        <v>2.4392849352979304</v>
      </c>
      <c r="V67">
        <f t="shared" si="19"/>
        <v>2.3186708684958113</v>
      </c>
      <c r="W67">
        <f t="shared" si="20"/>
        <v>2.3229212989660311</v>
      </c>
    </row>
    <row r="68" spans="1:23" ht="15" x14ac:dyDescent="0.3">
      <c r="A68">
        <v>20.869130467004929</v>
      </c>
      <c r="B68">
        <v>6.7564984486120379</v>
      </c>
      <c r="C68">
        <v>3.30248377845338</v>
      </c>
      <c r="D68">
        <v>2.8381493519999998</v>
      </c>
      <c r="E68">
        <v>3.5394750667253652</v>
      </c>
      <c r="F68">
        <v>3.331879182024557</v>
      </c>
      <c r="G68">
        <v>3.331879182024557</v>
      </c>
      <c r="I68" s="6">
        <v>365</v>
      </c>
      <c r="Q68">
        <f t="shared" si="14"/>
        <v>20.451747857664831</v>
      </c>
      <c r="R68">
        <f t="shared" si="15"/>
        <v>6.6213684796397967</v>
      </c>
      <c r="S68">
        <f t="shared" si="16"/>
        <v>3.2364341028843122</v>
      </c>
      <c r="T68">
        <f t="shared" si="17"/>
        <v>2.7813863649599999</v>
      </c>
      <c r="U68">
        <f t="shared" si="18"/>
        <v>3.4686855653908579</v>
      </c>
      <c r="V68">
        <f t="shared" si="19"/>
        <v>3.2652415983840659</v>
      </c>
      <c r="W68">
        <f t="shared" si="20"/>
        <v>3.2652415983840659</v>
      </c>
    </row>
    <row r="69" spans="1:23" ht="15" x14ac:dyDescent="0.3">
      <c r="A69">
        <v>18.47926505653458</v>
      </c>
      <c r="B69">
        <v>6.8726894892304511</v>
      </c>
      <c r="C69">
        <v>5.2222686888453627</v>
      </c>
      <c r="D69">
        <v>3.0846155209999999</v>
      </c>
      <c r="E69">
        <v>2.153817217884145</v>
      </c>
      <c r="F69">
        <v>2.0489070670191039</v>
      </c>
      <c r="G69" s="3">
        <v>2.0486507967087348</v>
      </c>
      <c r="I69" s="6">
        <v>398</v>
      </c>
      <c r="Q69">
        <f t="shared" si="14"/>
        <v>18.109679755403889</v>
      </c>
      <c r="R69">
        <f t="shared" si="15"/>
        <v>6.735235699445842</v>
      </c>
      <c r="S69">
        <f t="shared" si="16"/>
        <v>5.1178233150684553</v>
      </c>
      <c r="T69">
        <f t="shared" si="17"/>
        <v>3.0229232105799997</v>
      </c>
      <c r="U69">
        <f t="shared" si="18"/>
        <v>2.1107408735264621</v>
      </c>
      <c r="V69">
        <f t="shared" si="19"/>
        <v>2.0079289256787218</v>
      </c>
      <c r="W69">
        <f t="shared" si="20"/>
        <v>2.0076777807745603</v>
      </c>
    </row>
    <row r="70" spans="1:23" ht="15" x14ac:dyDescent="0.3">
      <c r="A70">
        <v>24.20856458104123</v>
      </c>
      <c r="B70">
        <v>8.8319500239440831</v>
      </c>
      <c r="C70">
        <v>5.0294854962498947</v>
      </c>
      <c r="D70">
        <v>2.4359735680000001</v>
      </c>
      <c r="E70">
        <v>2.3083210895556379</v>
      </c>
      <c r="F70">
        <v>2.2857999171482901</v>
      </c>
      <c r="G70">
        <v>2.256217913691029</v>
      </c>
      <c r="I70" s="6">
        <v>453</v>
      </c>
      <c r="Q70">
        <f t="shared" si="14"/>
        <v>23.724393289420405</v>
      </c>
      <c r="R70">
        <f t="shared" si="15"/>
        <v>8.6553110234652006</v>
      </c>
      <c r="S70">
        <f t="shared" si="16"/>
        <v>4.9288957863248966</v>
      </c>
      <c r="T70">
        <f t="shared" si="17"/>
        <v>2.38725409664</v>
      </c>
      <c r="U70">
        <f t="shared" si="18"/>
        <v>2.2621546677645252</v>
      </c>
      <c r="V70">
        <f t="shared" si="19"/>
        <v>2.2400839188053241</v>
      </c>
      <c r="W70">
        <f t="shared" si="20"/>
        <v>2.2110935554172082</v>
      </c>
    </row>
    <row r="71" spans="1:23" ht="15" x14ac:dyDescent="0.3">
      <c r="A71">
        <v>16.39999688198165</v>
      </c>
      <c r="B71">
        <v>7.9837158630123524</v>
      </c>
      <c r="C71">
        <v>5.1578200070009306</v>
      </c>
      <c r="D71">
        <v>4.1143027209999996</v>
      </c>
      <c r="E71">
        <v>4.4926279973232957</v>
      </c>
      <c r="F71">
        <v>4.1475482906896923</v>
      </c>
      <c r="G71">
        <v>4.1475482906896923</v>
      </c>
      <c r="I71" s="6">
        <v>354</v>
      </c>
      <c r="Q71">
        <f t="shared" si="14"/>
        <v>16.071996944342018</v>
      </c>
      <c r="R71">
        <f t="shared" si="15"/>
        <v>7.8240415457521051</v>
      </c>
      <c r="S71">
        <f t="shared" si="16"/>
        <v>5.0546636068609114</v>
      </c>
      <c r="T71">
        <f t="shared" si="17"/>
        <v>4.0320166665799997</v>
      </c>
      <c r="U71">
        <f t="shared" si="18"/>
        <v>4.40277543737683</v>
      </c>
      <c r="V71">
        <f t="shared" si="19"/>
        <v>4.0645973248758986</v>
      </c>
      <c r="W71">
        <f t="shared" si="20"/>
        <v>4.0645973248758986</v>
      </c>
    </row>
    <row r="72" spans="1:23" ht="15" x14ac:dyDescent="0.3">
      <c r="A72">
        <v>19.20103167292903</v>
      </c>
      <c r="B72">
        <v>7.451081206250425</v>
      </c>
      <c r="C72">
        <v>4.7654000355301118</v>
      </c>
      <c r="D72">
        <v>3.1236228439999998</v>
      </c>
      <c r="E72">
        <v>3.40840090619173</v>
      </c>
      <c r="F72">
        <v>2.949036839396566</v>
      </c>
      <c r="G72">
        <v>2.9489325731255578</v>
      </c>
      <c r="I72" s="6">
        <v>370</v>
      </c>
      <c r="Q72">
        <f t="shared" si="14"/>
        <v>18.817011039470451</v>
      </c>
      <c r="R72">
        <f t="shared" si="15"/>
        <v>7.3020595821254162</v>
      </c>
      <c r="S72">
        <f t="shared" si="16"/>
        <v>4.6700920348195094</v>
      </c>
      <c r="T72">
        <f t="shared" si="17"/>
        <v>3.0611503871199996</v>
      </c>
      <c r="U72">
        <f t="shared" si="18"/>
        <v>3.3402328880678955</v>
      </c>
      <c r="V72">
        <f t="shared" si="19"/>
        <v>2.8900561026086344</v>
      </c>
      <c r="W72">
        <f t="shared" si="20"/>
        <v>2.8899539216630465</v>
      </c>
    </row>
    <row r="73" spans="1:23" ht="15" x14ac:dyDescent="0.3">
      <c r="A73">
        <v>12.169732817141631</v>
      </c>
      <c r="B73">
        <v>9.1956224829216229</v>
      </c>
      <c r="C73">
        <v>5.5989293150373616</v>
      </c>
      <c r="D73">
        <v>4.5827357329999998</v>
      </c>
      <c r="E73">
        <v>4.5320933390592826</v>
      </c>
      <c r="F73">
        <v>4.1876359031686157</v>
      </c>
      <c r="G73">
        <v>5.3997890701319271</v>
      </c>
      <c r="I73" s="6">
        <v>386</v>
      </c>
      <c r="Q73">
        <f t="shared" si="14"/>
        <v>11.926338160798798</v>
      </c>
      <c r="R73">
        <f t="shared" si="15"/>
        <v>9.0117100332631903</v>
      </c>
      <c r="S73">
        <f t="shared" si="16"/>
        <v>5.4869507287366144</v>
      </c>
      <c r="T73">
        <f t="shared" si="17"/>
        <v>4.4910810183400001</v>
      </c>
      <c r="U73">
        <f t="shared" si="18"/>
        <v>4.4414514722780964</v>
      </c>
      <c r="V73">
        <f t="shared" si="19"/>
        <v>4.1038831851052429</v>
      </c>
      <c r="W73">
        <f t="shared" si="20"/>
        <v>5.2917932887292887</v>
      </c>
    </row>
    <row r="74" spans="1:23" ht="15" x14ac:dyDescent="0.3">
      <c r="A74">
        <v>18.685150089032149</v>
      </c>
      <c r="B74">
        <v>8.5203081664934412</v>
      </c>
      <c r="C74">
        <v>5.0410428964934129</v>
      </c>
      <c r="D74">
        <v>5.1064539069999997</v>
      </c>
      <c r="E74">
        <v>5.4520177815225459</v>
      </c>
      <c r="F74">
        <v>4.953859172771395</v>
      </c>
      <c r="G74">
        <v>5.0834132199065216</v>
      </c>
      <c r="I74" s="6">
        <v>441</v>
      </c>
      <c r="Q74">
        <f t="shared" si="14"/>
        <v>18.311447087251505</v>
      </c>
      <c r="R74">
        <f t="shared" si="15"/>
        <v>8.3499020031635727</v>
      </c>
      <c r="S74">
        <f t="shared" si="16"/>
        <v>4.9402220385635447</v>
      </c>
      <c r="T74">
        <f t="shared" si="17"/>
        <v>5.0043248288599997</v>
      </c>
      <c r="U74">
        <f t="shared" si="18"/>
        <v>5.3429774258920952</v>
      </c>
      <c r="V74">
        <f t="shared" si="19"/>
        <v>4.8547819893159669</v>
      </c>
      <c r="W74">
        <f t="shared" si="20"/>
        <v>4.9817449555083915</v>
      </c>
    </row>
    <row r="75" spans="1:23" ht="15" x14ac:dyDescent="0.3">
      <c r="A75">
        <v>16.658826514946821</v>
      </c>
      <c r="B75">
        <v>7.6399149644355608</v>
      </c>
      <c r="C75">
        <v>5.8931872889641097</v>
      </c>
      <c r="D75">
        <v>4.1090090530000003</v>
      </c>
      <c r="E75">
        <v>3.0709203487223879</v>
      </c>
      <c r="F75">
        <v>2.9098750665066082</v>
      </c>
      <c r="G75">
        <v>2.8896961694557368</v>
      </c>
      <c r="I75" s="6">
        <v>419</v>
      </c>
      <c r="Q75">
        <f t="shared" si="14"/>
        <v>16.325649984647885</v>
      </c>
      <c r="R75">
        <f t="shared" si="15"/>
        <v>7.4871166651468499</v>
      </c>
      <c r="S75">
        <f t="shared" si="16"/>
        <v>5.7753235431848271</v>
      </c>
      <c r="T75">
        <f t="shared" si="17"/>
        <v>4.0268288719400003</v>
      </c>
      <c r="U75">
        <f t="shared" si="18"/>
        <v>3.0095019417479403</v>
      </c>
      <c r="V75">
        <f t="shared" si="19"/>
        <v>2.8516775651764759</v>
      </c>
      <c r="W75">
        <f t="shared" si="20"/>
        <v>2.8319022460666221</v>
      </c>
    </row>
    <row r="76" spans="1:23" ht="15" x14ac:dyDescent="0.3">
      <c r="A76">
        <v>24.930279351611919</v>
      </c>
      <c r="B76">
        <v>6.4639265889546849</v>
      </c>
      <c r="C76">
        <v>7.1424016777375927</v>
      </c>
      <c r="D76">
        <v>4.5194188249999998</v>
      </c>
      <c r="E76">
        <v>6.044977145506774</v>
      </c>
      <c r="F76">
        <v>4.8377032556617863</v>
      </c>
      <c r="G76">
        <v>4.6953114455784846</v>
      </c>
      <c r="I76" s="6">
        <v>425</v>
      </c>
      <c r="Q76">
        <f t="shared" si="14"/>
        <v>24.431673764579681</v>
      </c>
      <c r="R76">
        <f t="shared" si="15"/>
        <v>6.334648057175591</v>
      </c>
      <c r="S76">
        <f t="shared" si="16"/>
        <v>6.999553644182841</v>
      </c>
      <c r="T76">
        <f t="shared" si="17"/>
        <v>4.4290304484999998</v>
      </c>
      <c r="U76">
        <f t="shared" si="18"/>
        <v>5.9240776025966388</v>
      </c>
      <c r="V76">
        <f t="shared" si="19"/>
        <v>4.7409491905485508</v>
      </c>
      <c r="W76">
        <f t="shared" si="20"/>
        <v>4.6014052166669144</v>
      </c>
    </row>
    <row r="77" spans="1:23" ht="15" x14ac:dyDescent="0.3">
      <c r="A77">
        <v>17.440961856912711</v>
      </c>
      <c r="B77">
        <v>6.6067359935256968</v>
      </c>
      <c r="C77">
        <v>3.5436455211346209</v>
      </c>
      <c r="D77">
        <v>3.3428910049999998</v>
      </c>
      <c r="E77">
        <v>2.341605721371566</v>
      </c>
      <c r="F77">
        <v>2.557776838756141</v>
      </c>
      <c r="G77">
        <v>2.4951409418297938</v>
      </c>
      <c r="I77" s="6">
        <v>468</v>
      </c>
      <c r="Q77">
        <f t="shared" si="14"/>
        <v>17.092142619774457</v>
      </c>
      <c r="R77">
        <f t="shared" si="15"/>
        <v>6.4746012736551828</v>
      </c>
      <c r="S77">
        <f t="shared" si="16"/>
        <v>3.4727726107119286</v>
      </c>
      <c r="T77">
        <f t="shared" si="17"/>
        <v>3.2760331848999997</v>
      </c>
      <c r="U77">
        <f t="shared" si="18"/>
        <v>2.2947736069441347</v>
      </c>
      <c r="V77">
        <f t="shared" si="19"/>
        <v>2.506621301981018</v>
      </c>
      <c r="W77">
        <f t="shared" si="20"/>
        <v>2.4452381229931981</v>
      </c>
    </row>
    <row r="78" spans="1:23" ht="15" x14ac:dyDescent="0.3">
      <c r="A78">
        <v>13.41261340739722</v>
      </c>
      <c r="B78">
        <v>7.5990495802824629</v>
      </c>
      <c r="C78">
        <v>4.8325327794837429</v>
      </c>
      <c r="D78">
        <v>4.2501486829999999</v>
      </c>
      <c r="E78">
        <v>3.6482154639155411</v>
      </c>
      <c r="F78">
        <v>3.6238882877334819</v>
      </c>
      <c r="G78">
        <v>3.5826715790250732</v>
      </c>
      <c r="I78" s="6">
        <v>392</v>
      </c>
      <c r="Q78">
        <f t="shared" si="14"/>
        <v>13.144361139249275</v>
      </c>
      <c r="R78">
        <f t="shared" si="15"/>
        <v>7.4470685886768138</v>
      </c>
      <c r="S78">
        <f t="shared" si="16"/>
        <v>4.7358821238940676</v>
      </c>
      <c r="T78">
        <f t="shared" si="17"/>
        <v>4.1651457093399999</v>
      </c>
      <c r="U78">
        <f t="shared" si="18"/>
        <v>3.5752511546372303</v>
      </c>
      <c r="V78">
        <f t="shared" si="19"/>
        <v>3.5514105219788124</v>
      </c>
      <c r="W78">
        <f t="shared" si="20"/>
        <v>3.5110181474445716</v>
      </c>
    </row>
    <row r="79" spans="1:23" ht="15" x14ac:dyDescent="0.3">
      <c r="A79">
        <v>20.057706812958969</v>
      </c>
      <c r="B79">
        <v>8.867558525179442</v>
      </c>
      <c r="C79">
        <v>5.6642645666369118</v>
      </c>
      <c r="D79">
        <v>2.8912359209999998</v>
      </c>
      <c r="E79">
        <v>3.521993773477059</v>
      </c>
      <c r="F79">
        <v>3.6024929254506128</v>
      </c>
      <c r="G79">
        <v>3.6043801548156851</v>
      </c>
      <c r="I79" s="6">
        <v>431</v>
      </c>
      <c r="Q79">
        <f t="shared" si="14"/>
        <v>19.656552676699789</v>
      </c>
      <c r="R79">
        <f t="shared" si="15"/>
        <v>8.6902073546758523</v>
      </c>
      <c r="S79">
        <f t="shared" si="16"/>
        <v>5.5509792753041731</v>
      </c>
      <c r="T79">
        <f t="shared" si="17"/>
        <v>2.8334112025799998</v>
      </c>
      <c r="U79">
        <f t="shared" si="18"/>
        <v>3.4515538980075178</v>
      </c>
      <c r="V79">
        <f t="shared" si="19"/>
        <v>3.5304430669416007</v>
      </c>
      <c r="W79">
        <f t="shared" si="20"/>
        <v>3.5322925517193715</v>
      </c>
    </row>
    <row r="80" spans="1:23" ht="15" x14ac:dyDescent="0.3">
      <c r="A80">
        <v>15.696482372262309</v>
      </c>
      <c r="B80">
        <v>8.3259524806305976</v>
      </c>
      <c r="C80">
        <v>4.4081199517809901</v>
      </c>
      <c r="D80">
        <v>3.1368822170000001</v>
      </c>
      <c r="E80">
        <v>3.013852860614961</v>
      </c>
      <c r="F80">
        <v>3.0419772157558409</v>
      </c>
      <c r="G80">
        <v>3.0562572796176828</v>
      </c>
      <c r="I80" s="6">
        <v>370</v>
      </c>
      <c r="Q80">
        <f t="shared" si="14"/>
        <v>15.382552724817064</v>
      </c>
      <c r="R80">
        <f t="shared" si="15"/>
        <v>8.1594334310179857</v>
      </c>
      <c r="S80">
        <f t="shared" si="16"/>
        <v>4.31995755274537</v>
      </c>
      <c r="T80">
        <f t="shared" si="17"/>
        <v>3.0741445726600003</v>
      </c>
      <c r="U80">
        <f t="shared" si="18"/>
        <v>2.9535758034026616</v>
      </c>
      <c r="V80">
        <f t="shared" si="19"/>
        <v>2.9811376714407238</v>
      </c>
      <c r="W80">
        <f t="shared" si="20"/>
        <v>2.995132134025329</v>
      </c>
    </row>
    <row r="81" spans="1:23" ht="15" x14ac:dyDescent="0.3">
      <c r="A81">
        <v>18.953471006413341</v>
      </c>
      <c r="B81">
        <v>8.9770071920873935</v>
      </c>
      <c r="C81">
        <v>3.7956585251092241</v>
      </c>
      <c r="D81">
        <v>2.646397833</v>
      </c>
      <c r="E81">
        <v>3.2109759407635532</v>
      </c>
      <c r="F81">
        <v>3.1795264134221921</v>
      </c>
      <c r="G81">
        <v>3.2917289687569791</v>
      </c>
      <c r="I81" s="6">
        <v>495</v>
      </c>
      <c r="Q81">
        <f t="shared" si="14"/>
        <v>18.574401586285074</v>
      </c>
      <c r="R81">
        <f t="shared" si="15"/>
        <v>8.797467048245645</v>
      </c>
      <c r="S81">
        <f t="shared" si="16"/>
        <v>3.7197453546070394</v>
      </c>
      <c r="T81">
        <f t="shared" si="17"/>
        <v>2.5934698763399999</v>
      </c>
      <c r="U81">
        <f t="shared" si="18"/>
        <v>3.146756421948282</v>
      </c>
      <c r="V81">
        <f t="shared" si="19"/>
        <v>3.1159358851537484</v>
      </c>
      <c r="W81">
        <f t="shared" si="20"/>
        <v>3.2258943893818395</v>
      </c>
    </row>
    <row r="82" spans="1:23" ht="15" x14ac:dyDescent="0.3">
      <c r="A82">
        <v>13.10377180883677</v>
      </c>
      <c r="B82">
        <v>7.461132033694887</v>
      </c>
      <c r="C82">
        <v>4.4878364035995739</v>
      </c>
      <c r="D82">
        <v>2.3312899200000001</v>
      </c>
      <c r="E82">
        <v>3.2394929672425792</v>
      </c>
      <c r="F82">
        <v>3.24561688868511</v>
      </c>
      <c r="G82">
        <v>3.0727174699050659</v>
      </c>
      <c r="I82" s="6">
        <v>408</v>
      </c>
      <c r="Q82">
        <f t="shared" si="14"/>
        <v>12.841696372660035</v>
      </c>
      <c r="R82">
        <f t="shared" si="15"/>
        <v>7.3119093930209891</v>
      </c>
      <c r="S82">
        <f t="shared" si="16"/>
        <v>4.3980796755275824</v>
      </c>
      <c r="T82">
        <f t="shared" si="17"/>
        <v>2.2846641216000001</v>
      </c>
      <c r="U82">
        <f t="shared" si="18"/>
        <v>3.1747031078977277</v>
      </c>
      <c r="V82">
        <f t="shared" si="19"/>
        <v>3.1807045509114076</v>
      </c>
      <c r="W82">
        <f t="shared" si="20"/>
        <v>3.0112631205069644</v>
      </c>
    </row>
    <row r="83" spans="1:23" ht="15" x14ac:dyDescent="0.3">
      <c r="A83">
        <v>24.399784656177779</v>
      </c>
      <c r="B83">
        <v>7.1758404342106594</v>
      </c>
      <c r="C83">
        <v>5.4097849680727377</v>
      </c>
      <c r="D83">
        <v>3.8238340289999999</v>
      </c>
      <c r="E83">
        <v>3.0870189772998411</v>
      </c>
      <c r="F83">
        <v>3.085775789941327</v>
      </c>
      <c r="G83">
        <v>3.085775789941327</v>
      </c>
      <c r="I83" s="6">
        <v>377</v>
      </c>
      <c r="Q83">
        <f t="shared" si="14"/>
        <v>23.911788963054224</v>
      </c>
      <c r="R83">
        <f t="shared" si="15"/>
        <v>7.0323236255264465</v>
      </c>
      <c r="S83">
        <f t="shared" si="16"/>
        <v>5.3015892687112824</v>
      </c>
      <c r="T83">
        <f t="shared" si="17"/>
        <v>3.74735734842</v>
      </c>
      <c r="U83">
        <f t="shared" si="18"/>
        <v>3.0252785977538443</v>
      </c>
      <c r="V83">
        <f t="shared" si="19"/>
        <v>3.0240602741425002</v>
      </c>
      <c r="W83">
        <f t="shared" si="20"/>
        <v>3.0240602741425002</v>
      </c>
    </row>
    <row r="84" spans="1:23" ht="15" x14ac:dyDescent="0.3">
      <c r="A84">
        <v>10.940749644105139</v>
      </c>
      <c r="B84">
        <v>7.9754559072305531</v>
      </c>
      <c r="C84">
        <v>3.8556865791751949</v>
      </c>
      <c r="D84">
        <v>4.7521324109999998</v>
      </c>
      <c r="E84">
        <v>4.6595413423369472</v>
      </c>
      <c r="F84">
        <v>4.6664250659544697</v>
      </c>
      <c r="G84">
        <v>4.6664250659544697</v>
      </c>
      <c r="I84" s="6">
        <v>376</v>
      </c>
      <c r="Q84">
        <f t="shared" si="14"/>
        <v>10.721934651223036</v>
      </c>
      <c r="R84">
        <f t="shared" si="15"/>
        <v>7.8159467890859418</v>
      </c>
      <c r="S84">
        <f t="shared" si="16"/>
        <v>3.7785728475916911</v>
      </c>
      <c r="T84">
        <f t="shared" si="17"/>
        <v>4.6570897627800001</v>
      </c>
      <c r="U84">
        <f t="shared" si="18"/>
        <v>4.5663505154902078</v>
      </c>
      <c r="V84">
        <f t="shared" si="19"/>
        <v>4.5730965646353798</v>
      </c>
      <c r="W84">
        <f t="shared" si="20"/>
        <v>4.5730965646353798</v>
      </c>
    </row>
    <row r="85" spans="1:23" ht="15" x14ac:dyDescent="0.3">
      <c r="A85">
        <v>20.137370411151089</v>
      </c>
      <c r="B85">
        <v>6.0836159546380459</v>
      </c>
      <c r="C85">
        <v>6.2735289686811671</v>
      </c>
      <c r="D85">
        <v>5.052858692</v>
      </c>
      <c r="E85">
        <v>5.0871327226391454</v>
      </c>
      <c r="F85">
        <v>5.0800316488069184</v>
      </c>
      <c r="G85">
        <v>5.0233425327399406</v>
      </c>
      <c r="I85" s="6">
        <v>475</v>
      </c>
      <c r="Q85">
        <f t="shared" si="14"/>
        <v>19.734623002928068</v>
      </c>
      <c r="R85">
        <f t="shared" si="15"/>
        <v>5.9619436355452846</v>
      </c>
      <c r="S85">
        <f t="shared" si="16"/>
        <v>6.1480583893075433</v>
      </c>
      <c r="T85">
        <f t="shared" si="17"/>
        <v>4.9518015181599999</v>
      </c>
      <c r="U85">
        <f t="shared" si="18"/>
        <v>4.9853900681863621</v>
      </c>
      <c r="V85">
        <f t="shared" si="19"/>
        <v>4.9784310158307798</v>
      </c>
      <c r="W85">
        <f t="shared" si="20"/>
        <v>4.9228756820851416</v>
      </c>
    </row>
    <row r="86" spans="1:23" ht="15" x14ac:dyDescent="0.3">
      <c r="A86">
        <v>23.972360852095441</v>
      </c>
      <c r="B86">
        <v>7.3141453861070449</v>
      </c>
      <c r="C86">
        <v>5.5578180310855121</v>
      </c>
      <c r="D86">
        <v>4.6856248889999996</v>
      </c>
      <c r="E86">
        <v>4.5513655706042861</v>
      </c>
      <c r="F86">
        <v>4.6991587771864598</v>
      </c>
      <c r="G86">
        <v>4.3975737686316716</v>
      </c>
      <c r="I86" s="6">
        <v>468</v>
      </c>
      <c r="Q86">
        <f t="shared" si="14"/>
        <v>23.492913635053533</v>
      </c>
      <c r="R86">
        <f t="shared" si="15"/>
        <v>7.1678624783849036</v>
      </c>
      <c r="S86">
        <f t="shared" si="16"/>
        <v>5.4466616704638016</v>
      </c>
      <c r="T86">
        <f t="shared" si="17"/>
        <v>4.5919123912199993</v>
      </c>
      <c r="U86">
        <f t="shared" si="18"/>
        <v>4.4603382591922003</v>
      </c>
      <c r="V86">
        <f t="shared" si="19"/>
        <v>4.6051756016427303</v>
      </c>
      <c r="W86">
        <f t="shared" si="20"/>
        <v>4.3096222932590385</v>
      </c>
    </row>
    <row r="87" spans="1:23" ht="15" x14ac:dyDescent="0.3">
      <c r="A87">
        <v>16.613123107133859</v>
      </c>
      <c r="B87">
        <v>6.3339791827530014</v>
      </c>
      <c r="C87">
        <v>3.9998219806604531</v>
      </c>
      <c r="D87">
        <v>2.2360244480000002</v>
      </c>
      <c r="E87">
        <v>2.1334971731017389</v>
      </c>
      <c r="F87">
        <v>2.1578266084749229</v>
      </c>
      <c r="G87">
        <v>2.085282715591132</v>
      </c>
      <c r="I87" s="6">
        <v>399</v>
      </c>
      <c r="Q87">
        <f t="shared" si="14"/>
        <v>16.280860644991183</v>
      </c>
      <c r="R87">
        <f t="shared" si="15"/>
        <v>6.2072995990979409</v>
      </c>
      <c r="S87">
        <f t="shared" si="16"/>
        <v>3.9198255410472438</v>
      </c>
      <c r="T87">
        <f t="shared" si="17"/>
        <v>2.1913039590400003</v>
      </c>
      <c r="U87">
        <f t="shared" si="18"/>
        <v>2.0908272296397041</v>
      </c>
      <c r="V87">
        <f t="shared" si="19"/>
        <v>2.1146700763054245</v>
      </c>
      <c r="W87">
        <f t="shared" si="20"/>
        <v>2.0435770612793092</v>
      </c>
    </row>
    <row r="88" spans="1:23" ht="15" x14ac:dyDescent="0.3">
      <c r="A88">
        <v>18.044737720288719</v>
      </c>
      <c r="B88">
        <v>8.0495583371111863</v>
      </c>
      <c r="C88">
        <v>3.6249933553200928</v>
      </c>
      <c r="D88">
        <v>2.7219727680000001</v>
      </c>
      <c r="E88">
        <v>2.5623485075564441</v>
      </c>
      <c r="F88">
        <v>2.5707296713268168</v>
      </c>
      <c r="G88">
        <v>2.5707296713268168</v>
      </c>
      <c r="I88" s="6">
        <v>318</v>
      </c>
      <c r="Q88">
        <f t="shared" si="14"/>
        <v>17.683842965882945</v>
      </c>
      <c r="R88">
        <f t="shared" si="15"/>
        <v>7.8885671703689626</v>
      </c>
      <c r="S88">
        <f t="shared" si="16"/>
        <v>3.5524934882136909</v>
      </c>
      <c r="T88">
        <f t="shared" si="17"/>
        <v>2.6675333126400003</v>
      </c>
      <c r="U88">
        <f t="shared" si="18"/>
        <v>2.5111015374053149</v>
      </c>
      <c r="V88">
        <f t="shared" si="19"/>
        <v>2.5193150779002806</v>
      </c>
      <c r="W88">
        <f t="shared" si="20"/>
        <v>2.5193150779002806</v>
      </c>
    </row>
    <row r="89" spans="1:23" ht="15" x14ac:dyDescent="0.3">
      <c r="A89">
        <v>15.372138587368481</v>
      </c>
      <c r="B89">
        <v>7.1390622122102281</v>
      </c>
      <c r="C89">
        <v>3.005144335677199</v>
      </c>
      <c r="D89">
        <v>3.0827387719999999</v>
      </c>
      <c r="E89">
        <v>3.5349114138307871</v>
      </c>
      <c r="F89">
        <v>2.393515543113736</v>
      </c>
      <c r="G89">
        <v>2.4188367415528651</v>
      </c>
      <c r="I89" s="6">
        <v>337</v>
      </c>
      <c r="Q89">
        <f t="shared" si="14"/>
        <v>15.064695815621111</v>
      </c>
      <c r="R89">
        <f t="shared" si="15"/>
        <v>6.9962809679660234</v>
      </c>
      <c r="S89">
        <f t="shared" si="16"/>
        <v>2.9450414489636549</v>
      </c>
      <c r="T89">
        <f t="shared" si="17"/>
        <v>3.0210839965599998</v>
      </c>
      <c r="U89">
        <f t="shared" si="18"/>
        <v>3.4642131855541711</v>
      </c>
      <c r="V89">
        <f t="shared" si="19"/>
        <v>2.3456452322514614</v>
      </c>
      <c r="W89">
        <f t="shared" si="20"/>
        <v>2.3704600067218076</v>
      </c>
    </row>
    <row r="90" spans="1:23" ht="15" x14ac:dyDescent="0.3">
      <c r="A90">
        <v>20.863414554093058</v>
      </c>
      <c r="B90">
        <v>6.5053369684708144</v>
      </c>
      <c r="C90">
        <v>3.85467620018682</v>
      </c>
      <c r="D90">
        <v>3.326153224</v>
      </c>
      <c r="E90">
        <v>3.448072872433221</v>
      </c>
      <c r="F90">
        <v>3.449950599298687</v>
      </c>
      <c r="G90">
        <v>3.445237721697461</v>
      </c>
      <c r="I90" s="6">
        <v>372</v>
      </c>
      <c r="Q90">
        <f t="shared" si="14"/>
        <v>20.446146263011197</v>
      </c>
      <c r="R90">
        <f t="shared" si="15"/>
        <v>6.3752302291013985</v>
      </c>
      <c r="S90">
        <f t="shared" si="16"/>
        <v>3.7775826761830835</v>
      </c>
      <c r="T90">
        <f t="shared" si="17"/>
        <v>3.2596301595199999</v>
      </c>
      <c r="U90">
        <f t="shared" si="18"/>
        <v>3.3791114149845565</v>
      </c>
      <c r="V90">
        <f t="shared" si="19"/>
        <v>3.3809515873127132</v>
      </c>
      <c r="W90">
        <f t="shared" si="20"/>
        <v>3.3763329672635116</v>
      </c>
    </row>
    <row r="91" spans="1:23" ht="15" x14ac:dyDescent="0.3">
      <c r="A91">
        <v>16.781715997402991</v>
      </c>
      <c r="B91">
        <v>9.8452721176061839</v>
      </c>
      <c r="C91">
        <v>6.3151137297604736</v>
      </c>
      <c r="D91">
        <v>5.4075656040000002</v>
      </c>
      <c r="E91">
        <v>4.4984663628638106</v>
      </c>
      <c r="F91">
        <v>4.5383414851097061</v>
      </c>
      <c r="G91">
        <v>4.481500272003994</v>
      </c>
      <c r="I91" s="6">
        <v>390</v>
      </c>
      <c r="Q91">
        <f t="shared" si="14"/>
        <v>16.446081677454931</v>
      </c>
      <c r="R91">
        <f t="shared" si="15"/>
        <v>9.64836667525406</v>
      </c>
      <c r="S91">
        <f t="shared" si="16"/>
        <v>6.188811455165264</v>
      </c>
      <c r="T91">
        <f t="shared" si="17"/>
        <v>5.2994142919199998</v>
      </c>
      <c r="U91">
        <f t="shared" si="18"/>
        <v>4.4084970356065343</v>
      </c>
      <c r="V91">
        <f t="shared" si="19"/>
        <v>4.4475746554075117</v>
      </c>
      <c r="W91">
        <f t="shared" si="20"/>
        <v>4.391870266563914</v>
      </c>
    </row>
    <row r="92" spans="1:23" ht="15" x14ac:dyDescent="0.3">
      <c r="A92">
        <v>13.077140762823181</v>
      </c>
      <c r="B92">
        <v>8.0496626272511413</v>
      </c>
      <c r="C92">
        <v>4.8265847893670113</v>
      </c>
      <c r="D92">
        <v>2.8948343940000001</v>
      </c>
      <c r="E92">
        <v>2.5735673158443029</v>
      </c>
      <c r="F92">
        <v>2.5770920679482359</v>
      </c>
      <c r="G92">
        <v>2.5770920679482359</v>
      </c>
      <c r="I92" s="6">
        <v>354</v>
      </c>
      <c r="Q92">
        <f t="shared" si="14"/>
        <v>12.815597947566717</v>
      </c>
      <c r="R92">
        <f t="shared" si="15"/>
        <v>7.8886693747061187</v>
      </c>
      <c r="S92">
        <f t="shared" si="16"/>
        <v>4.730053093579671</v>
      </c>
      <c r="T92">
        <f t="shared" si="17"/>
        <v>2.8369377061200001</v>
      </c>
      <c r="U92">
        <f t="shared" si="18"/>
        <v>2.5220959695274168</v>
      </c>
      <c r="V92">
        <f t="shared" si="19"/>
        <v>2.5255502265892713</v>
      </c>
      <c r="W92">
        <f t="shared" si="20"/>
        <v>2.5255502265892713</v>
      </c>
    </row>
    <row r="93" spans="1:23" ht="15" x14ac:dyDescent="0.3">
      <c r="A93">
        <v>21.964649158758849</v>
      </c>
      <c r="B93">
        <v>5.9663924657784309</v>
      </c>
      <c r="C93">
        <v>5.8631490800667461</v>
      </c>
      <c r="D93">
        <v>3.334391943</v>
      </c>
      <c r="E93">
        <v>2.3292467081012131</v>
      </c>
      <c r="F93">
        <v>2.3354354891819091</v>
      </c>
      <c r="G93">
        <v>2.3354354891819091</v>
      </c>
      <c r="I93" s="6">
        <v>384</v>
      </c>
      <c r="Q93">
        <f t="shared" si="14"/>
        <v>21.525356175583671</v>
      </c>
      <c r="R93">
        <f t="shared" si="15"/>
        <v>5.8470646164628626</v>
      </c>
      <c r="S93">
        <f t="shared" si="16"/>
        <v>5.7458860984654114</v>
      </c>
      <c r="T93">
        <f t="shared" si="17"/>
        <v>3.2677041041399999</v>
      </c>
      <c r="U93">
        <f t="shared" si="18"/>
        <v>2.2826617739391888</v>
      </c>
      <c r="V93">
        <f t="shared" si="19"/>
        <v>2.2887267793982708</v>
      </c>
      <c r="W93">
        <f t="shared" si="20"/>
        <v>2.2887267793982708</v>
      </c>
    </row>
    <row r="94" spans="1:23" ht="15" x14ac:dyDescent="0.3">
      <c r="A94">
        <v>22.38272403839073</v>
      </c>
      <c r="B94">
        <v>6.8314198200733829</v>
      </c>
      <c r="C94">
        <v>4.137841841932608</v>
      </c>
      <c r="D94">
        <v>3.149210166</v>
      </c>
      <c r="E94">
        <v>4.7117661308681917</v>
      </c>
      <c r="F94">
        <v>4.7059382343218443</v>
      </c>
      <c r="G94">
        <v>4.7059382343218443</v>
      </c>
      <c r="I94" s="6">
        <v>351</v>
      </c>
      <c r="Q94">
        <f t="shared" si="14"/>
        <v>21.935069557622914</v>
      </c>
      <c r="R94">
        <f t="shared" si="15"/>
        <v>6.6947914236719148</v>
      </c>
      <c r="S94">
        <f t="shared" si="16"/>
        <v>4.0550850050939555</v>
      </c>
      <c r="T94">
        <f t="shared" si="17"/>
        <v>3.0862259626799999</v>
      </c>
      <c r="U94">
        <f t="shared" si="18"/>
        <v>4.6175308082508275</v>
      </c>
      <c r="V94">
        <f t="shared" si="19"/>
        <v>4.6118194696354076</v>
      </c>
      <c r="W94">
        <f t="shared" si="20"/>
        <v>4.6118194696354076</v>
      </c>
    </row>
    <row r="95" spans="1:23" ht="15" x14ac:dyDescent="0.3">
      <c r="A95">
        <v>24.782957671477309</v>
      </c>
      <c r="B95">
        <v>7.6226328809943036</v>
      </c>
      <c r="C95">
        <v>4.0087713734606867</v>
      </c>
      <c r="D95">
        <v>3.8895186719999999</v>
      </c>
      <c r="E95">
        <v>3.541788106648164</v>
      </c>
      <c r="F95">
        <v>3.7440376795808019</v>
      </c>
      <c r="G95">
        <v>3.751701239142839</v>
      </c>
      <c r="I95" s="6">
        <v>395</v>
      </c>
      <c r="Q95">
        <f t="shared" si="14"/>
        <v>24.287298518047763</v>
      </c>
      <c r="R95">
        <f t="shared" si="15"/>
        <v>7.4701802233744177</v>
      </c>
      <c r="S95">
        <f t="shared" si="16"/>
        <v>3.9285959459914728</v>
      </c>
      <c r="T95">
        <f t="shared" si="17"/>
        <v>3.8117282985599998</v>
      </c>
      <c r="U95">
        <f t="shared" si="18"/>
        <v>3.4709523445152008</v>
      </c>
      <c r="V95">
        <f t="shared" si="19"/>
        <v>3.6691569259891859</v>
      </c>
      <c r="W95">
        <f t="shared" si="20"/>
        <v>3.6766672143599823</v>
      </c>
    </row>
    <row r="96" spans="1:23" ht="15" x14ac:dyDescent="0.3">
      <c r="A96">
        <v>17.650273257565491</v>
      </c>
      <c r="B96">
        <v>7.919257076451693</v>
      </c>
      <c r="C96">
        <v>5.4924937276841428</v>
      </c>
      <c r="D96">
        <v>3.4587628939999999</v>
      </c>
      <c r="E96">
        <v>2.5469192881203928</v>
      </c>
      <c r="F96">
        <v>2.5469298925151671</v>
      </c>
      <c r="G96">
        <v>2.5469298925151671</v>
      </c>
      <c r="I96" s="6">
        <v>306</v>
      </c>
      <c r="Q96">
        <f t="shared" si="14"/>
        <v>17.297267792414182</v>
      </c>
      <c r="R96">
        <f t="shared" si="15"/>
        <v>7.7608719349226591</v>
      </c>
      <c r="S96">
        <f t="shared" si="16"/>
        <v>5.3826438531304595</v>
      </c>
      <c r="T96">
        <f t="shared" si="17"/>
        <v>3.3895876361199999</v>
      </c>
      <c r="U96">
        <f t="shared" si="18"/>
        <v>2.4959809023579851</v>
      </c>
      <c r="V96">
        <f t="shared" si="19"/>
        <v>2.4959912946648637</v>
      </c>
      <c r="W96">
        <f t="shared" si="20"/>
        <v>2.4959912946648637</v>
      </c>
    </row>
    <row r="97" spans="1:33" ht="15" x14ac:dyDescent="0.3">
      <c r="A97">
        <v>18.390714791943399</v>
      </c>
      <c r="B97">
        <v>7.5471435269088074</v>
      </c>
      <c r="C97">
        <v>6.7269736656049552</v>
      </c>
      <c r="D97">
        <v>5.4172933179999996</v>
      </c>
      <c r="E97">
        <v>3.7211553028590671</v>
      </c>
      <c r="F97">
        <v>4.1897459261116339</v>
      </c>
      <c r="G97">
        <v>4.254553063541513</v>
      </c>
      <c r="I97" s="6">
        <v>470</v>
      </c>
      <c r="Q97">
        <f t="shared" si="14"/>
        <v>18.02290049610453</v>
      </c>
      <c r="R97">
        <f t="shared" si="15"/>
        <v>7.3962006563706311</v>
      </c>
      <c r="S97">
        <f t="shared" si="16"/>
        <v>6.5924341922928562</v>
      </c>
      <c r="T97">
        <f t="shared" si="17"/>
        <v>5.3089474516399999</v>
      </c>
      <c r="U97">
        <f t="shared" si="18"/>
        <v>3.6467321968018855</v>
      </c>
      <c r="V97">
        <f t="shared" si="19"/>
        <v>4.1059510075894012</v>
      </c>
      <c r="W97">
        <f t="shared" si="20"/>
        <v>4.1694620022706825</v>
      </c>
    </row>
    <row r="98" spans="1:33" ht="15" x14ac:dyDescent="0.3">
      <c r="A98">
        <v>11.85437390263429</v>
      </c>
      <c r="B98">
        <v>5.2580600493767244</v>
      </c>
      <c r="C98">
        <v>3.4060566421781129</v>
      </c>
      <c r="D98">
        <v>3.663077205</v>
      </c>
      <c r="E98">
        <v>3.6172303563819539</v>
      </c>
      <c r="F98">
        <v>3.519326026112561</v>
      </c>
      <c r="G98">
        <v>3.519326026112561</v>
      </c>
      <c r="I98" s="6">
        <v>301</v>
      </c>
      <c r="Q98">
        <f t="shared" si="14"/>
        <v>11.617286424581604</v>
      </c>
      <c r="R98">
        <f t="shared" si="15"/>
        <v>5.1528988483891895</v>
      </c>
      <c r="S98">
        <f t="shared" si="16"/>
        <v>3.3379355093345504</v>
      </c>
      <c r="T98">
        <f t="shared" si="17"/>
        <v>3.5898156608999998</v>
      </c>
      <c r="U98">
        <f t="shared" si="18"/>
        <v>3.5448857492543149</v>
      </c>
      <c r="V98">
        <f t="shared" si="19"/>
        <v>3.4489395055903098</v>
      </c>
      <c r="W98">
        <f t="shared" si="20"/>
        <v>3.4489395055903098</v>
      </c>
    </row>
    <row r="99" spans="1:33" ht="15" x14ac:dyDescent="0.3">
      <c r="A99">
        <v>21.866885784018219</v>
      </c>
      <c r="B99">
        <v>6.8026267308934001</v>
      </c>
      <c r="C99">
        <v>4.3669705014488747</v>
      </c>
      <c r="D99">
        <v>4.1712801429999997</v>
      </c>
      <c r="E99">
        <v>4.2809835017487874</v>
      </c>
      <c r="F99">
        <v>4.2808704617745521</v>
      </c>
      <c r="G99">
        <v>4.1561828788995099</v>
      </c>
      <c r="I99" s="6">
        <v>384</v>
      </c>
      <c r="Q99">
        <f t="shared" si="14"/>
        <v>21.429548068337855</v>
      </c>
      <c r="R99">
        <f t="shared" si="15"/>
        <v>6.6665741962755316</v>
      </c>
      <c r="S99">
        <f t="shared" si="16"/>
        <v>4.2796310914198967</v>
      </c>
      <c r="T99">
        <f t="shared" si="17"/>
        <v>4.0878545401399995</v>
      </c>
      <c r="U99">
        <f t="shared" si="18"/>
        <v>4.195363831713812</v>
      </c>
      <c r="V99">
        <f t="shared" si="19"/>
        <v>4.1952530525390612</v>
      </c>
      <c r="W99">
        <f t="shared" si="20"/>
        <v>4.07305922132152</v>
      </c>
    </row>
    <row r="100" spans="1:33" ht="15" x14ac:dyDescent="0.3">
      <c r="A100">
        <v>15.85084682911935</v>
      </c>
      <c r="B100">
        <v>8.0240606321333026</v>
      </c>
      <c r="C100">
        <v>3.48072925750414</v>
      </c>
      <c r="D100">
        <v>2.6077214359999998</v>
      </c>
      <c r="E100">
        <v>2.658430531664826</v>
      </c>
      <c r="F100">
        <v>3.18192824165877</v>
      </c>
      <c r="G100">
        <v>4.1153551684845846</v>
      </c>
      <c r="I100" s="6">
        <v>558</v>
      </c>
      <c r="Q100">
        <f t="shared" si="14"/>
        <v>15.533829892536962</v>
      </c>
      <c r="R100">
        <f t="shared" si="15"/>
        <v>7.8635794194906365</v>
      </c>
      <c r="S100">
        <f t="shared" si="16"/>
        <v>3.4111146723540573</v>
      </c>
      <c r="T100">
        <f t="shared" si="17"/>
        <v>2.5555670072799996</v>
      </c>
      <c r="U100">
        <f t="shared" si="18"/>
        <v>2.6052619210315293</v>
      </c>
      <c r="V100">
        <f t="shared" si="19"/>
        <v>3.1182896768255945</v>
      </c>
      <c r="W100">
        <f t="shared" si="20"/>
        <v>4.033048065114893</v>
      </c>
    </row>
    <row r="101" spans="1:33" ht="15" x14ac:dyDescent="0.3">
      <c r="A101">
        <v>8.8695929349964633</v>
      </c>
      <c r="B101">
        <v>8.1801381520550773</v>
      </c>
      <c r="C101">
        <v>4.6354045499912209</v>
      </c>
      <c r="D101">
        <v>3.8771298600000001</v>
      </c>
      <c r="E101">
        <v>3.827143609971968</v>
      </c>
      <c r="F101">
        <v>3.8578355581704851</v>
      </c>
      <c r="G101">
        <v>3.7545291936062211</v>
      </c>
      <c r="I101" s="6">
        <v>405</v>
      </c>
      <c r="Q101">
        <f t="shared" si="14"/>
        <v>8.6922010762965343</v>
      </c>
      <c r="R101">
        <f t="shared" si="15"/>
        <v>8.0165353890139759</v>
      </c>
      <c r="S101">
        <f t="shared" si="16"/>
        <v>4.5426964589913963</v>
      </c>
      <c r="T101">
        <f t="shared" si="17"/>
        <v>3.7995872628000003</v>
      </c>
      <c r="U101">
        <f t="shared" si="18"/>
        <v>3.7506007377725288</v>
      </c>
      <c r="V101">
        <f t="shared" si="19"/>
        <v>3.7806788470070751</v>
      </c>
      <c r="W101">
        <f t="shared" si="20"/>
        <v>3.6794386097340968</v>
      </c>
    </row>
    <row r="104" spans="1:33" x14ac:dyDescent="0.25">
      <c r="A104">
        <f>AVERAGE(A2:A101)</f>
        <v>17.279229930753829</v>
      </c>
      <c r="B104">
        <f t="shared" ref="B104:G104" si="21">AVERAGE(B2:B101)</f>
        <v>7.5214381295407966</v>
      </c>
      <c r="C104">
        <f t="shared" si="21"/>
        <v>5.0675554975124335</v>
      </c>
      <c r="D104">
        <f t="shared" si="21"/>
        <v>3.5789514325100016</v>
      </c>
      <c r="E104">
        <f t="shared" si="21"/>
        <v>3.5513815602385961</v>
      </c>
      <c r="F104">
        <f t="shared" si="21"/>
        <v>3.5258488036174755</v>
      </c>
      <c r="G104">
        <f t="shared" si="21"/>
        <v>3.5394668105148992</v>
      </c>
      <c r="Q104">
        <f t="shared" ref="Q104:W104" si="22">AVERAGE(Q2:Q101)</f>
        <v>16.933645332138749</v>
      </c>
      <c r="R104">
        <f t="shared" si="22"/>
        <v>7.3710093669499805</v>
      </c>
      <c r="S104">
        <f t="shared" si="22"/>
        <v>4.9662043875621835</v>
      </c>
      <c r="T104">
        <f t="shared" si="22"/>
        <v>3.5073724038597982</v>
      </c>
      <c r="U104">
        <f t="shared" si="22"/>
        <v>3.4803539290338228</v>
      </c>
      <c r="V104">
        <f t="shared" si="22"/>
        <v>3.4553318275451246</v>
      </c>
      <c r="W104">
        <f t="shared" si="22"/>
        <v>3.4686774743046023</v>
      </c>
    </row>
    <row r="105" spans="1:33" x14ac:dyDescent="0.25">
      <c r="A105">
        <f>MIN(A2:A101)</f>
        <v>8.8695929349964633</v>
      </c>
      <c r="B105">
        <f t="shared" ref="B105:G105" si="23">MIN(B2:B101)</f>
        <v>5.1678091893249487</v>
      </c>
      <c r="C105">
        <f t="shared" si="23"/>
        <v>3.005144335677199</v>
      </c>
      <c r="D105">
        <f t="shared" si="23"/>
        <v>2.146704647</v>
      </c>
      <c r="E105">
        <f t="shared" si="23"/>
        <v>1.7996525159473351</v>
      </c>
      <c r="F105">
        <f t="shared" si="23"/>
        <v>2.0489070670191039</v>
      </c>
      <c r="G105">
        <f t="shared" si="23"/>
        <v>2.0486507967087348</v>
      </c>
      <c r="Q105">
        <f t="shared" ref="Q105:W105" si="24">MIN(Q2:Q101)</f>
        <v>8.6922010762965343</v>
      </c>
      <c r="R105">
        <f t="shared" si="24"/>
        <v>5.06445300553845</v>
      </c>
      <c r="S105">
        <f t="shared" si="24"/>
        <v>2.9450414489636549</v>
      </c>
      <c r="T105">
        <f t="shared" si="24"/>
        <v>2.10377055406</v>
      </c>
      <c r="U105">
        <f t="shared" si="24"/>
        <v>1.7636594656283884</v>
      </c>
      <c r="V105">
        <f t="shared" si="24"/>
        <v>2.0079289256787218</v>
      </c>
      <c r="W105">
        <f t="shared" si="24"/>
        <v>2.0076777807745603</v>
      </c>
    </row>
    <row r="106" spans="1:33" x14ac:dyDescent="0.25">
      <c r="G106">
        <f>MAX(G2:G101)</f>
        <v>5.3997890701319271</v>
      </c>
    </row>
    <row r="107" spans="1:33" x14ac:dyDescent="0.25">
      <c r="G107">
        <f>_xlfn.VAR.P(G2:G101)</f>
        <v>0.6697383631268341</v>
      </c>
    </row>
    <row r="110" spans="1:33" s="4" customFormat="1" x14ac:dyDescent="0.3">
      <c r="A110" s="4">
        <v>10.690909</v>
      </c>
      <c r="B110" s="4">
        <v>7.1929550000000004</v>
      </c>
      <c r="C110" s="4">
        <v>4.9409090000000004</v>
      </c>
      <c r="D110" s="4">
        <v>2.1909999999999998</v>
      </c>
      <c r="E110" s="4">
        <v>3.0909089999999999</v>
      </c>
      <c r="F110" s="4">
        <v>4.1987209999999999</v>
      </c>
      <c r="G110" s="4">
        <v>2.0359090000000002</v>
      </c>
      <c r="H110" s="4">
        <v>1.189932</v>
      </c>
      <c r="I110" s="4">
        <v>1.7729090000000001</v>
      </c>
      <c r="J110" s="4">
        <v>3.1870020000000001</v>
      </c>
      <c r="K110" s="4">
        <v>2.2809089999999999</v>
      </c>
      <c r="L110" s="4">
        <v>2.188294</v>
      </c>
      <c r="M110" s="4">
        <v>3.0534089999999998</v>
      </c>
      <c r="N110" s="4">
        <v>5.5039090000000002</v>
      </c>
      <c r="O110" s="4">
        <v>2.938955</v>
      </c>
      <c r="P110" s="4">
        <v>2.0909089999999999</v>
      </c>
      <c r="Q110" s="4">
        <v>2.3409089999999999</v>
      </c>
      <c r="R110" s="4">
        <v>8.0697840000000003</v>
      </c>
      <c r="S110" s="4">
        <v>4</v>
      </c>
      <c r="T110" s="4">
        <v>1.940909</v>
      </c>
      <c r="U110" s="4">
        <v>2.690909</v>
      </c>
      <c r="V110" s="4">
        <v>6.6739090000000001</v>
      </c>
      <c r="W110" s="4">
        <v>4.6596590000000004</v>
      </c>
      <c r="X110" s="4">
        <v>3.1849090000000002</v>
      </c>
      <c r="Y110" s="4">
        <v>3.7299720000000001</v>
      </c>
      <c r="Z110" s="4">
        <v>4.1909090000000004</v>
      </c>
      <c r="AA110" s="4">
        <v>5.0910339999999996</v>
      </c>
      <c r="AB110" s="4">
        <v>2.1834090000000002</v>
      </c>
      <c r="AC110" s="4">
        <v>11.934899</v>
      </c>
      <c r="AD110" s="4">
        <v>5.0904090000000002</v>
      </c>
      <c r="AE110" s="4">
        <v>4.1887999999999996</v>
      </c>
      <c r="AF110" s="4">
        <v>5.0640000000000001</v>
      </c>
      <c r="AG110" s="4">
        <v>5.7909090000000001</v>
      </c>
    </row>
    <row r="111" spans="1:33" s="5" customFormat="1" x14ac:dyDescent="0.25">
      <c r="A111" s="5">
        <v>10.715719999999999</v>
      </c>
      <c r="B111" s="5">
        <v>6.14825</v>
      </c>
      <c r="C111" s="5">
        <v>4.9758100000000001</v>
      </c>
      <c r="D111" s="5">
        <v>6.3103800000000003</v>
      </c>
      <c r="E111" s="5">
        <v>3.1253099999999998</v>
      </c>
      <c r="F111" s="5">
        <v>2.5504600000000002</v>
      </c>
      <c r="G111" s="5">
        <v>2.2038600000000002</v>
      </c>
      <c r="H111" s="5">
        <v>1.68713</v>
      </c>
      <c r="I111" s="5">
        <v>1.7605299999999999</v>
      </c>
      <c r="J111" s="5">
        <v>3.4044699999999999</v>
      </c>
      <c r="K111" s="5">
        <v>2.2634400000000001</v>
      </c>
      <c r="L111" s="5">
        <v>2.3037200000000002</v>
      </c>
      <c r="M111" s="5">
        <v>3.1021399999999999</v>
      </c>
      <c r="N111" s="5">
        <v>5.5555700000000003</v>
      </c>
      <c r="O111" s="5">
        <v>3.0087199999999998</v>
      </c>
      <c r="P111" s="5">
        <v>2.1099899999999998</v>
      </c>
      <c r="Q111" s="5">
        <v>2.3400400000000001</v>
      </c>
      <c r="R111" s="5">
        <v>7.1629100000000001</v>
      </c>
      <c r="S111" s="5">
        <v>4.0777599999999996</v>
      </c>
      <c r="T111" s="5">
        <v>1.9940899999999999</v>
      </c>
      <c r="U111" s="5">
        <v>2.6638799999999998</v>
      </c>
      <c r="V111" s="5">
        <v>6.4639499999999996</v>
      </c>
      <c r="W111" s="5">
        <v>4.6617600000000001</v>
      </c>
      <c r="X111" s="5">
        <v>3.39</v>
      </c>
      <c r="Y111" s="5">
        <v>3.71014</v>
      </c>
      <c r="Z111" s="5">
        <v>5.6775799999999998</v>
      </c>
      <c r="AA111" s="5">
        <v>4.7903599999999997</v>
      </c>
      <c r="AB111" s="5">
        <v>2.4134899999999999</v>
      </c>
      <c r="AC111" s="5">
        <v>18.340330000000002</v>
      </c>
      <c r="AD111" s="5">
        <v>5.1088899999999997</v>
      </c>
      <c r="AE111" s="5">
        <v>4.0258200000000004</v>
      </c>
      <c r="AF111" s="5">
        <v>4.8555400000000004</v>
      </c>
      <c r="AG111" s="5">
        <v>5.7976000000000001</v>
      </c>
    </row>
    <row r="112" spans="1:33" x14ac:dyDescent="0.25">
      <c r="A112">
        <f>A110-A111</f>
        <v>-2.4810999999999694E-2</v>
      </c>
      <c r="B112">
        <f t="shared" ref="B112:AG112" si="25">B110-B111</f>
        <v>1.0447050000000004</v>
      </c>
      <c r="C112">
        <f t="shared" si="25"/>
        <v>-3.4900999999999627E-2</v>
      </c>
      <c r="D112">
        <f t="shared" si="25"/>
        <v>-4.1193800000000005</v>
      </c>
      <c r="E112">
        <f t="shared" si="25"/>
        <v>-3.4400999999999904E-2</v>
      </c>
      <c r="F112">
        <f t="shared" si="25"/>
        <v>1.6482609999999998</v>
      </c>
      <c r="G112">
        <f t="shared" si="25"/>
        <v>-0.16795099999999996</v>
      </c>
      <c r="H112">
        <f t="shared" si="25"/>
        <v>-0.49719800000000003</v>
      </c>
      <c r="I112">
        <f t="shared" si="25"/>
        <v>1.237900000000014E-2</v>
      </c>
      <c r="J112">
        <f t="shared" si="25"/>
        <v>-0.21746799999999977</v>
      </c>
      <c r="K112">
        <f t="shared" si="25"/>
        <v>1.7468999999999735E-2</v>
      </c>
      <c r="L112">
        <f t="shared" si="25"/>
        <v>-0.11542600000000025</v>
      </c>
      <c r="M112">
        <f t="shared" si="25"/>
        <v>-4.873100000000008E-2</v>
      </c>
      <c r="N112">
        <f t="shared" si="25"/>
        <v>-5.1661000000000179E-2</v>
      </c>
      <c r="O112">
        <f t="shared" si="25"/>
        <v>-6.9764999999999855E-2</v>
      </c>
      <c r="P112">
        <f t="shared" si="25"/>
        <v>-1.9080999999999904E-2</v>
      </c>
      <c r="Q112">
        <f t="shared" si="25"/>
        <v>8.6899999999978661E-4</v>
      </c>
      <c r="R112">
        <f t="shared" si="25"/>
        <v>0.90687400000000018</v>
      </c>
      <c r="S112">
        <f t="shared" si="25"/>
        <v>-7.7759999999999607E-2</v>
      </c>
      <c r="T112">
        <f t="shared" si="25"/>
        <v>-5.3180999999999923E-2</v>
      </c>
      <c r="U112">
        <f t="shared" si="25"/>
        <v>2.7029000000000192E-2</v>
      </c>
      <c r="V112">
        <f t="shared" si="25"/>
        <v>0.20995900000000045</v>
      </c>
      <c r="W112">
        <f t="shared" si="25"/>
        <v>-2.1009999999996865E-3</v>
      </c>
      <c r="X112">
        <f t="shared" si="25"/>
        <v>-0.20509099999999991</v>
      </c>
      <c r="Y112">
        <f t="shared" si="25"/>
        <v>1.9832000000000072E-2</v>
      </c>
      <c r="Z112">
        <f t="shared" si="25"/>
        <v>-1.4866709999999994</v>
      </c>
      <c r="AA112">
        <f t="shared" si="25"/>
        <v>0.30067399999999989</v>
      </c>
      <c r="AB112">
        <f t="shared" si="25"/>
        <v>-0.23008099999999976</v>
      </c>
      <c r="AC112">
        <f t="shared" si="25"/>
        <v>-6.4054310000000019</v>
      </c>
      <c r="AD112">
        <f t="shared" si="25"/>
        <v>-1.8480999999999526E-2</v>
      </c>
      <c r="AE112">
        <f t="shared" si="25"/>
        <v>0.16297999999999924</v>
      </c>
      <c r="AF112">
        <f t="shared" si="25"/>
        <v>0.20845999999999965</v>
      </c>
      <c r="AG112">
        <f t="shared" si="25"/>
        <v>-6.6910000000000025E-3</v>
      </c>
    </row>
    <row r="114" spans="1:33" x14ac:dyDescent="0.25">
      <c r="A114">
        <v>14</v>
      </c>
      <c r="B114">
        <v>10</v>
      </c>
      <c r="C114">
        <v>9</v>
      </c>
      <c r="D114">
        <v>9</v>
      </c>
      <c r="E114">
        <v>8</v>
      </c>
      <c r="F114">
        <v>8</v>
      </c>
      <c r="G114">
        <v>9</v>
      </c>
      <c r="H114">
        <v>8</v>
      </c>
      <c r="I114">
        <v>8</v>
      </c>
      <c r="J114">
        <v>9</v>
      </c>
      <c r="K114">
        <v>8</v>
      </c>
      <c r="L114">
        <v>8</v>
      </c>
      <c r="M114">
        <v>8</v>
      </c>
      <c r="N114">
        <v>12</v>
      </c>
      <c r="O114">
        <v>11</v>
      </c>
      <c r="P114">
        <v>8</v>
      </c>
      <c r="Q114">
        <v>8</v>
      </c>
      <c r="R114">
        <v>16</v>
      </c>
      <c r="S114">
        <v>15</v>
      </c>
      <c r="T114">
        <v>9</v>
      </c>
      <c r="U114">
        <v>8</v>
      </c>
      <c r="V114">
        <v>8</v>
      </c>
      <c r="W114">
        <v>8</v>
      </c>
      <c r="X114">
        <v>8</v>
      </c>
      <c r="Y114">
        <v>8</v>
      </c>
      <c r="Z114">
        <v>8</v>
      </c>
      <c r="AA114">
        <v>8</v>
      </c>
      <c r="AB114">
        <v>9</v>
      </c>
      <c r="AC114">
        <v>26</v>
      </c>
      <c r="AD114">
        <v>8</v>
      </c>
      <c r="AE114">
        <v>8</v>
      </c>
      <c r="AF114">
        <v>8</v>
      </c>
      <c r="AG114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辰飞 侯</cp:lastModifiedBy>
  <dcterms:created xsi:type="dcterms:W3CDTF">2025-06-19T12:42:24Z</dcterms:created>
  <dcterms:modified xsi:type="dcterms:W3CDTF">2025-08-09T14:25:44Z</dcterms:modified>
</cp:coreProperties>
</file>